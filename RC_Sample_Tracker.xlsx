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crescent1478-my.sharepoint.com/personal/cool_crescent1478_onmicrosoft_com/Documents/RC Gen Project/"/>
    </mc:Choice>
  </mc:AlternateContent>
  <xr:revisionPtr revIDLastSave="0" documentId="11_ABC46B297C3C6D3B5A387E06277871FC6B6C65F1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mmary" sheetId="1" r:id="rId1"/>
    <sheet name="Available RCs" sheetId="2" r:id="rId2"/>
  </sheets>
  <definedNames>
    <definedName name="_xlnm._FilterDatabase" localSheetId="1" hidden="1">'Available RCs'!$A$1:$L$78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1" i="1" l="1"/>
  <c r="C41" i="1"/>
  <c r="B41" i="1"/>
  <c r="D40" i="1"/>
  <c r="C40" i="1"/>
  <c r="B40" i="1"/>
  <c r="D39" i="1"/>
  <c r="C39" i="1"/>
  <c r="B39" i="1"/>
  <c r="D38" i="1"/>
  <c r="C38" i="1"/>
  <c r="B38" i="1"/>
  <c r="D37" i="1"/>
  <c r="C37" i="1"/>
  <c r="B37" i="1"/>
  <c r="D36" i="1"/>
  <c r="C36" i="1"/>
  <c r="B36" i="1"/>
  <c r="D35" i="1"/>
  <c r="C35" i="1"/>
  <c r="B35" i="1"/>
  <c r="E35" i="1" s="1"/>
  <c r="D34" i="1"/>
  <c r="C34" i="1"/>
  <c r="B34" i="1"/>
  <c r="E34" i="1" s="1"/>
  <c r="D33" i="1"/>
  <c r="C33" i="1"/>
  <c r="B33" i="1"/>
  <c r="D32" i="1"/>
  <c r="C32" i="1"/>
  <c r="B32" i="1"/>
  <c r="D31" i="1"/>
  <c r="C31" i="1"/>
  <c r="B31" i="1"/>
  <c r="D30" i="1"/>
  <c r="C30" i="1"/>
  <c r="B30" i="1"/>
  <c r="D29" i="1"/>
  <c r="C29" i="1"/>
  <c r="B29" i="1"/>
  <c r="D28" i="1"/>
  <c r="D42" i="1" s="1"/>
  <c r="C28" i="1"/>
  <c r="C42" i="1" s="1"/>
  <c r="B28" i="1"/>
  <c r="D24" i="1"/>
  <c r="C24" i="1"/>
  <c r="B24" i="1"/>
  <c r="D23" i="1"/>
  <c r="C23" i="1"/>
  <c r="B23" i="1"/>
  <c r="E23" i="1" s="1"/>
  <c r="D22" i="1"/>
  <c r="D25" i="1" s="1"/>
  <c r="C22" i="1"/>
  <c r="C25" i="1" s="1"/>
  <c r="B22" i="1"/>
  <c r="C18" i="1"/>
  <c r="B18" i="1"/>
  <c r="C17" i="1"/>
  <c r="B17" i="1"/>
  <c r="D17" i="1" s="1"/>
  <c r="C16" i="1"/>
  <c r="B16" i="1"/>
  <c r="C15" i="1"/>
  <c r="C19" i="1" s="1"/>
  <c r="B15" i="1"/>
  <c r="C14" i="1"/>
  <c r="B14" i="1"/>
  <c r="B10" i="1"/>
  <c r="B9" i="1"/>
  <c r="B8" i="1"/>
  <c r="B7" i="1"/>
  <c r="B11" i="1" s="1"/>
  <c r="D15" i="1" l="1"/>
  <c r="D16" i="1"/>
  <c r="E29" i="1"/>
  <c r="E37" i="1"/>
  <c r="D14" i="1"/>
  <c r="D19" i="1" s="1"/>
  <c r="E32" i="1"/>
  <c r="E40" i="1"/>
  <c r="D18" i="1"/>
  <c r="E24" i="1"/>
  <c r="E30" i="1"/>
  <c r="E38" i="1"/>
  <c r="E22" i="1"/>
  <c r="E25" i="1" s="1"/>
  <c r="E33" i="1"/>
  <c r="E41" i="1"/>
  <c r="E28" i="1"/>
  <c r="E42" i="1" s="1"/>
  <c r="E36" i="1"/>
  <c r="E31" i="1"/>
  <c r="E39" i="1"/>
  <c r="B25" i="1"/>
  <c r="B19" i="1"/>
  <c r="B4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Claude</author>
  </authors>
  <commentList>
    <comment ref="B5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Snapshot 2026-09-15: unique RC IDs across exported_rc_sets/ and its subfolders.</t>
        </r>
      </text>
    </comment>
    <comment ref="B6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Snapshot 2026-09-15: 83 emailed in Weeks 1-8, 10 staged for Week 9 (19 Sep), 5 staged in the Week 4 folder but never emailed.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Claude</author>
  </authors>
  <commentList>
    <comment ref="B6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Genre assigned 2026-09-15 by reading the passage; not yet in rc_genres.json.</t>
        </r>
      </text>
    </comment>
    <comment ref="B7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Genre assigned 2026-09-15 by reading the passage; not yet in rc_genres.json.</t>
        </r>
      </text>
    </comment>
    <comment ref="B15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Genre assigned 2026-09-15 by reading the passage; not yet in rc_genres.json.</t>
        </r>
      </text>
    </comment>
    <comment ref="B18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Genre assigned 2026-09-15 by reading the passage; not yet in rc_genres.json.</t>
        </r>
      </text>
    </comment>
    <comment ref="B28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Genre assigned 2026-09-15 by reading the passage; not yet in rc_genres.json.</t>
        </r>
      </text>
    </comment>
    <comment ref="B37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Genre assigned 2026-09-15 by reading the passage; not yet in rc_genres.json.</t>
        </r>
      </text>
    </comment>
    <comment ref="B38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Genre assigned 2026-09-15 by reading the passage; not yet in rc_genres.json.</t>
        </r>
      </text>
    </comment>
    <comment ref="B43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Genre assigned 2026-09-15 by reading the passage; not yet in rc_genres.json.</t>
        </r>
      </text>
    </comment>
    <comment ref="B45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Genre assigned 2026-09-15 by reading the passage; not yet in rc_genres.json.</t>
        </r>
      </text>
    </comment>
    <comment ref="B46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Genre assigned 2026-09-15 by reading the passage; not yet in rc_genres.json.</t>
        </r>
      </text>
    </comment>
    <comment ref="B47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Genre assigned 2026-09-15 by reading the passage; not yet in rc_genres.json.</t>
        </r>
      </text>
    </comment>
    <comment ref="B49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Genre assigned 2026-09-15 by reading the passage; not yet in rc_genres.json.</t>
        </r>
      </text>
    </comment>
    <comment ref="B52" authorId="0" shapeId="0" xr:uid="{00000000-0006-0000-0100-00000D000000}">
      <text>
        <r>
          <rPr>
            <sz val="11"/>
            <color theme="1"/>
            <rFont val="Calibri"/>
            <family val="2"/>
            <scheme val="minor"/>
          </rPr>
          <t>Genre assigned 2026-09-15 by reading the passage; not yet in rc_genres.json.</t>
        </r>
      </text>
    </comment>
    <comment ref="B58" authorId="0" shapeId="0" xr:uid="{00000000-0006-0000-0100-00000E000000}">
      <text>
        <r>
          <rPr>
            <sz val="11"/>
            <color theme="1"/>
            <rFont val="Calibri"/>
            <family val="2"/>
            <scheme val="minor"/>
          </rPr>
          <t>Genre assigned 2026-09-15 by reading the passage; not yet in rc_genres.json.</t>
        </r>
      </text>
    </comment>
    <comment ref="B60" authorId="0" shapeId="0" xr:uid="{00000000-0006-0000-0100-00000F000000}">
      <text>
        <r>
          <rPr>
            <sz val="11"/>
            <color theme="1"/>
            <rFont val="Calibri"/>
            <family val="2"/>
            <scheme val="minor"/>
          </rPr>
          <t>Genre assigned 2026-09-15 by reading the passage; not yet in rc_genres.json.</t>
        </r>
      </text>
    </comment>
    <comment ref="B64" authorId="0" shapeId="0" xr:uid="{00000000-0006-0000-0100-000010000000}">
      <text>
        <r>
          <rPr>
            <sz val="11"/>
            <color theme="1"/>
            <rFont val="Calibri"/>
            <family val="2"/>
            <scheme val="minor"/>
          </rPr>
          <t>Genre assigned 2026-09-15 by reading the passage; not yet in rc_genres.json.</t>
        </r>
      </text>
    </comment>
    <comment ref="B68" authorId="0" shapeId="0" xr:uid="{00000000-0006-0000-0100-000011000000}">
      <text>
        <r>
          <rPr>
            <sz val="11"/>
            <color theme="1"/>
            <rFont val="Calibri"/>
            <family val="2"/>
            <scheme val="minor"/>
          </rPr>
          <t>Genre assigned 2026-09-15 by reading the passage; not yet in rc_genres.json.</t>
        </r>
      </text>
    </comment>
  </commentList>
</comments>
</file>

<file path=xl/sharedStrings.xml><?xml version="1.0" encoding="utf-8"?>
<sst xmlns="http://schemas.openxmlformats.org/spreadsheetml/2006/main" count="620" uniqueCount="241">
  <si>
    <t>RC Sample Tracker</t>
  </si>
  <si>
    <t>Exported RC sets that have never gone to the client: not emailed, and not staged in any week folder.</t>
  </si>
  <si>
    <t>Built 2026-09-15; cross-checked against both trackers (RC_Shipping_Tracker, RC_Shipped_Sets) and every delivered passage.</t>
  </si>
  <si>
    <t>Exported RC sets (unique IDs, all subfolders)</t>
  </si>
  <si>
    <t>Already with the client (in either tracker)</t>
  </si>
  <si>
    <t>Not sent (rows on Available RCs)</t>
  </si>
  <si>
    <t xml:space="preserve">   with 8 questions</t>
  </si>
  <si>
    <t xml:space="preserve">   with 6 questions (older format)</t>
  </si>
  <si>
    <t>Samples sent so far</t>
  </si>
  <si>
    <t>Still available for samples</t>
  </si>
  <si>
    <t>Status</t>
  </si>
  <si>
    <t>Sets</t>
  </si>
  <si>
    <t>Sample Sent</t>
  </si>
  <si>
    <t>Still Available</t>
  </si>
  <si>
    <t>approved</t>
  </si>
  <si>
    <t>needs_review</t>
  </si>
  <si>
    <t>solver_dispute</t>
  </si>
  <si>
    <t>unrated</t>
  </si>
  <si>
    <t>blocked</t>
  </si>
  <si>
    <t>Total</t>
  </si>
  <si>
    <t>Tier</t>
  </si>
  <si>
    <t>Approved</t>
  </si>
  <si>
    <t>elite</t>
  </si>
  <si>
    <t>hard</t>
  </si>
  <si>
    <t>medium</t>
  </si>
  <si>
    <t>Genre</t>
  </si>
  <si>
    <t>Politics, Law &amp; Policy</t>
  </si>
  <si>
    <t>Literature &amp; Criticism</t>
  </si>
  <si>
    <t>History</t>
  </si>
  <si>
    <t>Medicine &amp; Health</t>
  </si>
  <si>
    <t>Economics &amp; Business</t>
  </si>
  <si>
    <t>Arts, Music &amp; Film</t>
  </si>
  <si>
    <t>Language &amp; Linguistics</t>
  </si>
  <si>
    <t>Philosophy &amp; Ethics</t>
  </si>
  <si>
    <t>Science &amp; Technology</t>
  </si>
  <si>
    <t>Sociology &amp; Culture</t>
  </si>
  <si>
    <t>Anthropology &amp; Archaeology</t>
  </si>
  <si>
    <t>Psychology</t>
  </si>
  <si>
    <t>Life Sciences &amp; Environment</t>
  </si>
  <si>
    <t>Education</t>
  </si>
  <si>
    <t>HOW TO USE</t>
  </si>
  <si>
    <t>Edit only the yellow columns on 'Available RCs': Sample Sent (Y/N), Sent To, Sent On.</t>
  </si>
  <si>
    <t>Example: Y | &lt;institute name&gt; | 2026-09-16. The counts above update as you mark Y.</t>
  </si>
  <si>
    <t>Rows run best-first: approved (8 questions first), then needs_review, solver_dispute, unrated, blocked.</t>
  </si>
  <si>
    <t>The File link opens the preferred exported version of each set.</t>
  </si>
  <si>
    <t>STATUS KEY</t>
  </si>
  <si>
    <t>approved: passed the judge.</t>
  </si>
  <si>
    <t>needs_review: not yet cleared. Read it before sending.</t>
  </si>
  <si>
    <t>solver_dispute: the independent solver chose a different answer. Check the key first.</t>
  </si>
  <si>
    <t>unrated: manual set from July, never judged by the engine.</t>
  </si>
  <si>
    <t>blocked: you marked it not-sent after the 2026-07-08 length-bias audit. Don't send as-is.</t>
  </si>
  <si>
    <t>NOT ON THIS LIST</t>
  </si>
  <si>
    <t>10 Week 9 sets staged for 19 Sep.</t>
  </si>
  <si>
    <t>5 sets staged in the Week 4 folder but never emailed. The client never received them.</t>
  </si>
  <si>
    <t>The shipping tracker still counts them as spoken for, so they are left off this list:</t>
  </si>
  <si>
    <t>RC-ELITE-260712-0028, RC-HARD-260726-0019, RC-MANUAL-260708-16, RC-MANUAL-260711-8, rc_medium_0003</t>
  </si>
  <si>
    <t>GENRES</t>
  </si>
  <si>
    <t>17 sets exported on 12 and 14 Sep had no entry in rc_genres.json.</t>
  </si>
  <si>
    <t>Their genre was assigned on 2026-09-15 by reading the passage (see the comment on each Genre cell).</t>
  </si>
  <si>
    <t>RC ID</t>
  </si>
  <si>
    <t>Passage Length (words)</t>
  </si>
  <si>
    <t>No. of Questions</t>
  </si>
  <si>
    <t>Sample Sent (Y/N)</t>
  </si>
  <si>
    <t>Sent To</t>
  </si>
  <si>
    <t>Sent On</t>
  </si>
  <si>
    <t>Notes</t>
  </si>
  <si>
    <t>File</t>
  </si>
  <si>
    <t>Sample Pack</t>
  </si>
  <si>
    <t>RC-ELITE-260904-0074</t>
  </si>
  <si>
    <t>N</t>
  </si>
  <si>
    <t>exported_rc_sets/RC-ELITE-260904-0074.txt</t>
  </si>
  <si>
    <t>RC-ELITE-260822-0057</t>
  </si>
  <si>
    <t>2 exported versions; File is the preferred one</t>
  </si>
  <si>
    <t>exported_rc_sets/RC-ELITE-260822-0057.txt</t>
  </si>
  <si>
    <t>Pack 4</t>
  </si>
  <si>
    <t>RC-HARD-260822-0063</t>
  </si>
  <si>
    <t>exported_rc_sets/RC-HARD-260822-0063.txt</t>
  </si>
  <si>
    <t>RC-HARD-260811-0046</t>
  </si>
  <si>
    <t>exported_rc_sets/RC-HARD-260811-0046.txt</t>
  </si>
  <si>
    <t>Pack 1</t>
  </si>
  <si>
    <t>RC-HARD-260912-0094</t>
  </si>
  <si>
    <t>exported_rc_sets/RC-HARD-260912-0094.txt</t>
  </si>
  <si>
    <t>Pack 3</t>
  </si>
  <si>
    <t>RC-HARD-260912-0091</t>
  </si>
  <si>
    <t>exported_rc_sets/RC-HARD-260912-0091.txt</t>
  </si>
  <si>
    <t>Pack 2</t>
  </si>
  <si>
    <t>RC-ELITE-260711-0023</t>
  </si>
  <si>
    <t>6 questions (older format)</t>
  </si>
  <si>
    <t>exported_rc_sets/RC-ELITE-260711-0023.txt</t>
  </si>
  <si>
    <t>RC_E_0705_7</t>
  </si>
  <si>
    <t>Legacy July set, not in the engine DB; 6 questions (older format)</t>
  </si>
  <si>
    <t>exported_rc_sets/RC_E_0705_7.txt</t>
  </si>
  <si>
    <t>RC-ELITE-260707-0022</t>
  </si>
  <si>
    <t>exported_rc_sets/RC-ELITE-260707-0022.txt</t>
  </si>
  <si>
    <t>RC-HARD-260726-0022</t>
  </si>
  <si>
    <t>exported_rc_sets/RC-HARD-260726-0022.txt</t>
  </si>
  <si>
    <t>RC-HARD-260726-0023</t>
  </si>
  <si>
    <t>exported_rc_sets/RC-HARD-260726-0023.txt</t>
  </si>
  <si>
    <t>RC-HARD-260726-0024</t>
  </si>
  <si>
    <t>exported_rc_sets/RC-HARD-260726-0024.txt</t>
  </si>
  <si>
    <t>RC-HARD-260726-0015</t>
  </si>
  <si>
    <t>exported_rc_sets/RC-HARD-260726-0015.txt</t>
  </si>
  <si>
    <t>RC-ELITE-260914-0086</t>
  </si>
  <si>
    <t>Exported only to flagged_similar (novelty-flagged)</t>
  </si>
  <si>
    <t>exported_rc_sets/flagged_similar/RC-ELITE-260914-0086.txt</t>
  </si>
  <si>
    <t>RC-ELITE-260905-0075</t>
  </si>
  <si>
    <t>exported_rc_sets/flagged_similar/RC-ELITE-260905-0075.txt</t>
  </si>
  <si>
    <t>RC-ELITE-260905-0077</t>
  </si>
  <si>
    <t>exported_rc_sets/flagged_similar/RC-ELITE-260905-0077.txt</t>
  </si>
  <si>
    <t>RC-MEDIUM-260912-0068</t>
  </si>
  <si>
    <t>exported_rc_sets/flagged_similar/RC-MEDIUM-260912-0068.txt</t>
  </si>
  <si>
    <t>RC-ELITE-260822-0060</t>
  </si>
  <si>
    <t>4 exported versions; File is the preferred one</t>
  </si>
  <si>
    <t>exported_rc_sets/post_housevoice_fix/RC-ELITE-260822-0060.txt</t>
  </si>
  <si>
    <t>RC-ELITE-260811-0038</t>
  </si>
  <si>
    <t>exported_rc_sets/RC-ELITE-260811-0038.txt</t>
  </si>
  <si>
    <t>RC-ELITE-260905-0076</t>
  </si>
  <si>
    <t>exported_rc_sets/RC-ELITE-260905-0076.txt</t>
  </si>
  <si>
    <t>RC-ELITE-260810-0035</t>
  </si>
  <si>
    <t>exported_rc_sets/RC-ELITE-260810-0035.txt</t>
  </si>
  <si>
    <t>RC-ELITE-260907-0083</t>
  </si>
  <si>
    <t>exported_rc_sets/RC-ELITE-260907-0083.txt</t>
  </si>
  <si>
    <t>RC-ELITE-260822-0062</t>
  </si>
  <si>
    <t>exported_rc_sets/RC-ELITE-260822-0062.txt</t>
  </si>
  <si>
    <t>RC-ELITE-260822-0059</t>
  </si>
  <si>
    <t>3 exported versions; File is the preferred one</t>
  </si>
  <si>
    <t>exported_rc_sets/post_housevoice_fix/RC-ELITE-260822-0059.txt</t>
  </si>
  <si>
    <t>RC-ELITE-260907-0082</t>
  </si>
  <si>
    <t>exported_rc_sets/RC-ELITE-260907-0082.txt</t>
  </si>
  <si>
    <t>RC-ELITE-260821-0050</t>
  </si>
  <si>
    <t>exported_rc_sets/RC-ELITE-260821-0050.txt</t>
  </si>
  <si>
    <t>RC-ELITE-260912-0085</t>
  </si>
  <si>
    <t>exported_rc_sets/RC-ELITE-260912-0085.txt</t>
  </si>
  <si>
    <t>RC-HARD-260905-0082</t>
  </si>
  <si>
    <t>exported_rc_sets/RC-HARD-260905-0082.txt</t>
  </si>
  <si>
    <t>RC-HARD-260905-0085</t>
  </si>
  <si>
    <t>exported_rc_sets/RC-HARD-260905-0085.txt</t>
  </si>
  <si>
    <t>RC-HARD-260810-0034</t>
  </si>
  <si>
    <t>exported_rc_sets/RC-HARD-260810-0034.txt</t>
  </si>
  <si>
    <t>RC-HARD-260819-0050</t>
  </si>
  <si>
    <t>exported_rc_sets/RC-HARD-260819-0050.txt</t>
  </si>
  <si>
    <t>RC-HARD-260811-0035</t>
  </si>
  <si>
    <t>exported_rc_sets/RC-HARD-260811-0035.txt</t>
  </si>
  <si>
    <t>RC-HARD-260901-0073</t>
  </si>
  <si>
    <t>exported_rc_sets/2026-09-01-0901-v2/RC-HARD-260901-0073.txt</t>
  </si>
  <si>
    <t>RC-HARD-260901-0074</t>
  </si>
  <si>
    <t>exported_rc_sets/2026-09-01-0901-v2/RC-HARD-260901-0074.txt</t>
  </si>
  <si>
    <t>RC-HARD-260822-0061</t>
  </si>
  <si>
    <t>exported_rc_sets/post_housevoice_fix/RC-HARD-260822-0061.txt</t>
  </si>
  <si>
    <t>RC-HARD-260914-0096</t>
  </si>
  <si>
    <t>exported_rc_sets/RC-HARD-260914-0096.txt</t>
  </si>
  <si>
    <t>RC-HARD-260914-0098</t>
  </si>
  <si>
    <t>exported_rc_sets/RC-HARD-260914-0098.txt</t>
  </si>
  <si>
    <t>RC-HARD-260907-0086</t>
  </si>
  <si>
    <t>exported_rc_sets/RC-HARD-260907-0086.txt</t>
  </si>
  <si>
    <t>RC-HARD-260901-0077</t>
  </si>
  <si>
    <t>exported_rc_sets/RC-HARD-260901-0077.txt</t>
  </si>
  <si>
    <t>RC-MEDIUM-260810-0024</t>
  </si>
  <si>
    <t>exported_rc_sets/2026-08-14-exports-260810-260811/260810/RC-MEDIUM-260810-0024.txt</t>
  </si>
  <si>
    <t>RC-MEDIUM-260822-0038</t>
  </si>
  <si>
    <t>exported_rc_sets/post_housevoice_fix/RC-MEDIUM-260822-0038.txt</t>
  </si>
  <si>
    <t>RC-ELITE-260912-0084</t>
  </si>
  <si>
    <t>exported_rc_sets/flagged_similar/RC-ELITE-260912-0084.txt</t>
  </si>
  <si>
    <t>RC-ELITE-260905-0078</t>
  </si>
  <si>
    <t>exported_rc_sets/flagged_similar/RC-ELITE-260905-0078.txt</t>
  </si>
  <si>
    <t>RC-ELITE-260914-0089</t>
  </si>
  <si>
    <t>exported_rc_sets/flagged_similar/RC-ELITE-260914-0089.txt</t>
  </si>
  <si>
    <t>RC-ELITE-260914-0091</t>
  </si>
  <si>
    <t>exported_rc_sets/flagged_similar/RC-ELITE-260914-0091.txt</t>
  </si>
  <si>
    <t>RC-HARD-260912-0093</t>
  </si>
  <si>
    <t>exported_rc_sets/flagged_similar/RC-HARD-260912-0093.txt</t>
  </si>
  <si>
    <t>RC-HARD-260907-0087</t>
  </si>
  <si>
    <t>exported_rc_sets/flagged_similar/RC-HARD-260907-0087.txt</t>
  </si>
  <si>
    <t>RC-HARD-260912-0092</t>
  </si>
  <si>
    <t>exported_rc_sets/flagged_similar/RC-HARD-260912-0092.txt</t>
  </si>
  <si>
    <t>RC-HARD-260904-0079</t>
  </si>
  <si>
    <t>exported_rc_sets/flagged_similar/RC-HARD-260904-0079.txt</t>
  </si>
  <si>
    <t>RC-HARD-260905-0084</t>
  </si>
  <si>
    <t>exported_rc_sets/flagged_similar/RC-HARD-260905-0084.txt</t>
  </si>
  <si>
    <t>RC-HARD-260912-0089</t>
  </si>
  <si>
    <t>exported_rc_sets/flagged_similar/RC-HARD-260912-0089.txt</t>
  </si>
  <si>
    <t>RC-HARD-260904-0080</t>
  </si>
  <si>
    <t>exported_rc_sets/flagged_similar/RC-HARD-260904-0080.txt</t>
  </si>
  <si>
    <t>RC-HARD-260822-0062</t>
  </si>
  <si>
    <t>exported_rc_sets/flagged_similar/RC-HARD-260822-0062.txt</t>
  </si>
  <si>
    <t>RC-HARD-260905-0081</t>
  </si>
  <si>
    <t>exported_rc_sets/flagged_similar/RC-HARD-260905-0081.txt</t>
  </si>
  <si>
    <t>RC-MEDIUM-260904-0060</t>
  </si>
  <si>
    <t>exported_rc_sets/flagged_similar/RC-MEDIUM-260904-0060.txt</t>
  </si>
  <si>
    <t>RC-MEDIUM-260901-0055</t>
  </si>
  <si>
    <t>exported_rc_sets/flagged_similar/RC-MEDIUM-260901-0055.txt</t>
  </si>
  <si>
    <t>RC-MEDIUM-260914-0076</t>
  </si>
  <si>
    <t>exported_rc_sets/flagged_similar/RC-MEDIUM-260914-0076.txt</t>
  </si>
  <si>
    <t>RC-MEDIUM-260822-0040</t>
  </si>
  <si>
    <t>exported_rc_sets/flagged_similar/RC-MEDIUM-260822-0040.txt</t>
  </si>
  <si>
    <t>RC-MEDIUM-260914-0070</t>
  </si>
  <si>
    <t>exported_rc_sets/flagged_similar/RC-MEDIUM-260914-0070.txt</t>
  </si>
  <si>
    <t>RC-MEDIUM-260904-0058</t>
  </si>
  <si>
    <t>exported_rc_sets/flagged_similar/RC-MEDIUM-260904-0058.txt</t>
  </si>
  <si>
    <t>RC-MEDIUM-260905-0063</t>
  </si>
  <si>
    <t>exported_rc_sets/flagged_similar/RC-MEDIUM-260905-0063.txt</t>
  </si>
  <si>
    <t>RC-MEDIUM-260904-0057</t>
  </si>
  <si>
    <t>exported_rc_sets/flagged_similar/RC-MEDIUM-260904-0057.txt</t>
  </si>
  <si>
    <t>RC-MEDIUM-260912-0067</t>
  </si>
  <si>
    <t>exported_rc_sets/flagged_similar/RC-MEDIUM-260912-0067.txt</t>
  </si>
  <si>
    <t>RC-ELITE-260822-0056</t>
  </si>
  <si>
    <t>Solver picked a different answer; check the key before sending; 3 exported versions; File is the preferred one</t>
  </si>
  <si>
    <t>exported_rc_sets/RC-ELITE-260822-0056.txt</t>
  </si>
  <si>
    <t>RC-ELITE-260905-0080</t>
  </si>
  <si>
    <t>Solver picked a different answer; check the key before sending</t>
  </si>
  <si>
    <t>exported_rc_sets/RC-ELITE-260905-0080.txt</t>
  </si>
  <si>
    <t>RC-HARD-260901-0076</t>
  </si>
  <si>
    <t>exported_rc_sets/RC-HARD-260901-0076.txt</t>
  </si>
  <si>
    <t>RC-MEDIUM-260914-0071</t>
  </si>
  <si>
    <t>exported_rc_sets/RC-MEDIUM-260914-0071.txt</t>
  </si>
  <si>
    <t>RC-MEDIUM-260810-0022</t>
  </si>
  <si>
    <t>exported_rc_sets/2026-08-14-exports-260810-260811/260810/RC-MEDIUM-260810-0022.txt</t>
  </si>
  <si>
    <t>RC-MEDIUM-260822-0035</t>
  </si>
  <si>
    <t>Solver picked a different answer; check the key before sending; 2 exported versions; File is the preferred one</t>
  </si>
  <si>
    <t>exported_rc_sets/RC-MEDIUM-260822-0035.txt</t>
  </si>
  <si>
    <t>RC-MEDIUM-260907-0066</t>
  </si>
  <si>
    <t>exported_rc_sets/RC-MEDIUM-260907-0066.txt</t>
  </si>
  <si>
    <t>RC-HARD-260904-0078</t>
  </si>
  <si>
    <t>Solver picked a different answer; check the key before sending; Exported only to flagged_similar (novelty-flagged)</t>
  </si>
  <si>
    <t>exported_rc_sets/flagged_similar/RC-HARD-260904-0078.txt</t>
  </si>
  <si>
    <t>RC-MEDIUM-260905-0062</t>
  </si>
  <si>
    <t>exported_rc_sets/flagged_similar/RC-MEDIUM-260905-0062.txt</t>
  </si>
  <si>
    <t>RC-MANUAL-260708-10</t>
  </si>
  <si>
    <t>Manual set from July, never judged by the engine; 6 questions (older format)</t>
  </si>
  <si>
    <t>exported_rc_sets/RC-MANUAL-260708-10_medium.txt</t>
  </si>
  <si>
    <t>RC_E_0705_5</t>
  </si>
  <si>
    <t>You blocked it after the 2026-07-08 audit: correct answer is the longest option in 5/6 questions; Legacy July set, not in the engine DB; 6 questions (older format)</t>
  </si>
  <si>
    <t>exported_rc_sets/RC_E_0705_5.txt</t>
  </si>
  <si>
    <t>RC_E_0705_2</t>
  </si>
  <si>
    <t>You blocked it after the 2026-07-08 audit: correct answer is the longest option in 4/6 questions; Legacy July set, not in the engine DB; 6 questions (older format)</t>
  </si>
  <si>
    <t>exported_rc_sets/RC_E_0705_2.txt</t>
  </si>
  <si>
    <t>rc_hard_0004</t>
  </si>
  <si>
    <t>You blocked it after the 2026-07-08 audit: correct answer is the longest option in 6/6 questions; Legacy July set, not in the engine DB; 6 questions (older format)</t>
  </si>
  <si>
    <t>exported_rc_sets/rc_hard_0004.txt</t>
  </si>
  <si>
    <t>RC_H_0705_3</t>
  </si>
  <si>
    <t>exported_rc_sets/RC_H_0705_3.txt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</si>
</sst>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8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u/>
      <sz val="10"/>
      <color rgb="FF0563C1"/>
      <name val="Arial"/>
    </font>
    <font>
      <b/>
      <sz val="13"/>
      <name val="Arial"/>
    </font>
    <font>
      <i/>
      <sz val="9"/>
      <name val="Arial"/>
    </font>
    <font>
      <b/>
      <sz val="10"/>
      <name val="Arial"/>
    </font>
    <font>
      <b/>
      <sz val="10"/>
      <color rgb="FF0000FF"/>
      <name val="Arial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4" fillId="0" borderId="0" xfId="0" applyFont="1"/>
    <xf numFmtId="0" fontId="5" fillId="0" borderId="0" xfId="0" applyFont="1"/>
    <xf numFmtId="0" fontId="2" fillId="0" borderId="0" xfId="0" applyFont="1"/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6" fillId="0" borderId="0" xfId="0" applyFont="1"/>
    <xf numFmtId="0" fontId="2" fillId="3" borderId="0" xfId="0" applyFont="1" applyFill="1" applyAlignment="1">
      <alignment horizontal="center"/>
    </xf>
    <xf numFmtId="0" fontId="2" fillId="3" borderId="0" xfId="0" applyFont="1" applyFill="1"/>
    <xf numFmtId="164" fontId="2" fillId="3" borderId="0" xfId="0" applyNumberFormat="1" applyFont="1" applyFill="1" applyAlignment="1">
      <alignment horizontal="center"/>
    </xf>
    <xf numFmtId="0" fontId="2" fillId="4" borderId="0" xfId="0" applyFont="1" applyFill="1"/>
    <xf numFmtId="0" fontId="3" fillId="0" borderId="0" xfId="0" applyFont="1"/>
    <xf numFmtId="0" fontId="2" fillId="5" borderId="0" xfId="0" applyFont="1" applyFill="1"/>
    <xf numFmtId="0" fontId="2" fillId="6" borderId="0" xfId="0" applyFont="1" applyFill="1"/>
    <xf numFmtId="0" fontId="2" fillId="7" borderId="0" xfId="0" applyFont="1" applyFill="1"/>
  </cellXfs>
  <cellStyles count="1">
    <cellStyle name="Normal" xfId="0" builtinId="0"/>
  </cellStyles>
  <dxfs count="1">
    <dxf>
      <font>
        <b/>
        <sz val="10"/>
        <name val="Arial"/>
      </font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exported_rc_sets/RC-ELITE-260821-0050.txt" TargetMode="External"/><Relationship Id="rId21" Type="http://schemas.openxmlformats.org/officeDocument/2006/relationships/hyperlink" Target="exported_rc_sets/RC-ELITE-260810-0035.txt" TargetMode="External"/><Relationship Id="rId42" Type="http://schemas.openxmlformats.org/officeDocument/2006/relationships/hyperlink" Target="exported_rc_sets/flagged_similar/RC-ELITE-260912-0084.txt" TargetMode="External"/><Relationship Id="rId47" Type="http://schemas.openxmlformats.org/officeDocument/2006/relationships/hyperlink" Target="exported_rc_sets/flagged_similar/RC-HARD-260907-0087.txt" TargetMode="External"/><Relationship Id="rId63" Type="http://schemas.openxmlformats.org/officeDocument/2006/relationships/hyperlink" Target="exported_rc_sets/flagged_similar/RC-MEDIUM-260912-0067.txt" TargetMode="External"/><Relationship Id="rId68" Type="http://schemas.openxmlformats.org/officeDocument/2006/relationships/hyperlink" Target="exported_rc_sets/2026-08-14-exports-260810-260811/260810/RC-MEDIUM-260810-0022.txt" TargetMode="External"/><Relationship Id="rId16" Type="http://schemas.openxmlformats.org/officeDocument/2006/relationships/hyperlink" Target="exported_rc_sets/flagged_similar/RC-ELITE-260905-0077.txt" TargetMode="External"/><Relationship Id="rId11" Type="http://schemas.openxmlformats.org/officeDocument/2006/relationships/hyperlink" Target="exported_rc_sets/RC-HARD-260726-0023.txt" TargetMode="External"/><Relationship Id="rId24" Type="http://schemas.openxmlformats.org/officeDocument/2006/relationships/hyperlink" Target="exported_rc_sets/post_housevoice_fix/RC-ELITE-260822-0059.txt" TargetMode="External"/><Relationship Id="rId32" Type="http://schemas.openxmlformats.org/officeDocument/2006/relationships/hyperlink" Target="exported_rc_sets/RC-HARD-260811-0035.txt" TargetMode="External"/><Relationship Id="rId37" Type="http://schemas.openxmlformats.org/officeDocument/2006/relationships/hyperlink" Target="exported_rc_sets/RC-HARD-260914-0098.txt" TargetMode="External"/><Relationship Id="rId40" Type="http://schemas.openxmlformats.org/officeDocument/2006/relationships/hyperlink" Target="exported_rc_sets/2026-08-14-exports-260810-260811/260810/RC-MEDIUM-260810-0024.txt" TargetMode="External"/><Relationship Id="rId45" Type="http://schemas.openxmlformats.org/officeDocument/2006/relationships/hyperlink" Target="exported_rc_sets/flagged_similar/RC-ELITE-260914-0091.txt" TargetMode="External"/><Relationship Id="rId53" Type="http://schemas.openxmlformats.org/officeDocument/2006/relationships/hyperlink" Target="exported_rc_sets/flagged_similar/RC-HARD-260822-0062.txt" TargetMode="External"/><Relationship Id="rId58" Type="http://schemas.openxmlformats.org/officeDocument/2006/relationships/hyperlink" Target="exported_rc_sets/flagged_similar/RC-MEDIUM-260822-0040.txt" TargetMode="External"/><Relationship Id="rId66" Type="http://schemas.openxmlformats.org/officeDocument/2006/relationships/hyperlink" Target="exported_rc_sets/RC-HARD-260901-0076.txt" TargetMode="External"/><Relationship Id="rId74" Type="http://schemas.openxmlformats.org/officeDocument/2006/relationships/hyperlink" Target="exported_rc_sets/RC_E_0705_5.txt" TargetMode="External"/><Relationship Id="rId79" Type="http://schemas.openxmlformats.org/officeDocument/2006/relationships/comments" Target="../comments2.xml"/><Relationship Id="rId5" Type="http://schemas.openxmlformats.org/officeDocument/2006/relationships/hyperlink" Target="exported_rc_sets/RC-HARD-260912-0094.txt" TargetMode="External"/><Relationship Id="rId61" Type="http://schemas.openxmlformats.org/officeDocument/2006/relationships/hyperlink" Target="exported_rc_sets/flagged_similar/RC-MEDIUM-260905-0063.txt" TargetMode="External"/><Relationship Id="rId19" Type="http://schemas.openxmlformats.org/officeDocument/2006/relationships/hyperlink" Target="exported_rc_sets/RC-ELITE-260811-0038.txt" TargetMode="External"/><Relationship Id="rId14" Type="http://schemas.openxmlformats.org/officeDocument/2006/relationships/hyperlink" Target="exported_rc_sets/flagged_similar/RC-ELITE-260914-0086.txt" TargetMode="External"/><Relationship Id="rId22" Type="http://schemas.openxmlformats.org/officeDocument/2006/relationships/hyperlink" Target="exported_rc_sets/RC-ELITE-260907-0083.txt" TargetMode="External"/><Relationship Id="rId27" Type="http://schemas.openxmlformats.org/officeDocument/2006/relationships/hyperlink" Target="exported_rc_sets/RC-ELITE-260912-0085.txt" TargetMode="External"/><Relationship Id="rId30" Type="http://schemas.openxmlformats.org/officeDocument/2006/relationships/hyperlink" Target="exported_rc_sets/RC-HARD-260810-0034.txt" TargetMode="External"/><Relationship Id="rId35" Type="http://schemas.openxmlformats.org/officeDocument/2006/relationships/hyperlink" Target="exported_rc_sets/post_housevoice_fix/RC-HARD-260822-0061.txt" TargetMode="External"/><Relationship Id="rId43" Type="http://schemas.openxmlformats.org/officeDocument/2006/relationships/hyperlink" Target="exported_rc_sets/flagged_similar/RC-ELITE-260905-0078.txt" TargetMode="External"/><Relationship Id="rId48" Type="http://schemas.openxmlformats.org/officeDocument/2006/relationships/hyperlink" Target="exported_rc_sets/flagged_similar/RC-HARD-260912-0092.txt" TargetMode="External"/><Relationship Id="rId56" Type="http://schemas.openxmlformats.org/officeDocument/2006/relationships/hyperlink" Target="exported_rc_sets/flagged_similar/RC-MEDIUM-260901-0055.txt" TargetMode="External"/><Relationship Id="rId64" Type="http://schemas.openxmlformats.org/officeDocument/2006/relationships/hyperlink" Target="exported_rc_sets/RC-ELITE-260822-0056.txt" TargetMode="External"/><Relationship Id="rId69" Type="http://schemas.openxmlformats.org/officeDocument/2006/relationships/hyperlink" Target="exported_rc_sets/RC-MEDIUM-260822-0035.txt" TargetMode="External"/><Relationship Id="rId77" Type="http://schemas.openxmlformats.org/officeDocument/2006/relationships/hyperlink" Target="exported_rc_sets/RC_H_0705_3.txt" TargetMode="External"/><Relationship Id="rId8" Type="http://schemas.openxmlformats.org/officeDocument/2006/relationships/hyperlink" Target="exported_rc_sets/RC_E_0705_7.txt" TargetMode="External"/><Relationship Id="rId51" Type="http://schemas.openxmlformats.org/officeDocument/2006/relationships/hyperlink" Target="exported_rc_sets/flagged_similar/RC-HARD-260912-0089.txt" TargetMode="External"/><Relationship Id="rId72" Type="http://schemas.openxmlformats.org/officeDocument/2006/relationships/hyperlink" Target="exported_rc_sets/flagged_similar/RC-MEDIUM-260905-0062.txt" TargetMode="External"/><Relationship Id="rId3" Type="http://schemas.openxmlformats.org/officeDocument/2006/relationships/hyperlink" Target="exported_rc_sets/RC-HARD-260822-0063.txt" TargetMode="External"/><Relationship Id="rId12" Type="http://schemas.openxmlformats.org/officeDocument/2006/relationships/hyperlink" Target="exported_rc_sets/RC-HARD-260726-0024.txt" TargetMode="External"/><Relationship Id="rId17" Type="http://schemas.openxmlformats.org/officeDocument/2006/relationships/hyperlink" Target="exported_rc_sets/flagged_similar/RC-MEDIUM-260912-0068.txt" TargetMode="External"/><Relationship Id="rId25" Type="http://schemas.openxmlformats.org/officeDocument/2006/relationships/hyperlink" Target="exported_rc_sets/RC-ELITE-260907-0082.txt" TargetMode="External"/><Relationship Id="rId33" Type="http://schemas.openxmlformats.org/officeDocument/2006/relationships/hyperlink" Target="exported_rc_sets/2026-09-01-0901-v2/RC-HARD-260901-0073.txt" TargetMode="External"/><Relationship Id="rId38" Type="http://schemas.openxmlformats.org/officeDocument/2006/relationships/hyperlink" Target="exported_rc_sets/RC-HARD-260907-0086.txt" TargetMode="External"/><Relationship Id="rId46" Type="http://schemas.openxmlformats.org/officeDocument/2006/relationships/hyperlink" Target="exported_rc_sets/flagged_similar/RC-HARD-260912-0093.txt" TargetMode="External"/><Relationship Id="rId59" Type="http://schemas.openxmlformats.org/officeDocument/2006/relationships/hyperlink" Target="exported_rc_sets/flagged_similar/RC-MEDIUM-260914-0070.txt" TargetMode="External"/><Relationship Id="rId67" Type="http://schemas.openxmlformats.org/officeDocument/2006/relationships/hyperlink" Target="exported_rc_sets/RC-MEDIUM-260914-0071.txt" TargetMode="External"/><Relationship Id="rId20" Type="http://schemas.openxmlformats.org/officeDocument/2006/relationships/hyperlink" Target="exported_rc_sets/RC-ELITE-260905-0076.txt" TargetMode="External"/><Relationship Id="rId41" Type="http://schemas.openxmlformats.org/officeDocument/2006/relationships/hyperlink" Target="exported_rc_sets/post_housevoice_fix/RC-MEDIUM-260822-0038.txt" TargetMode="External"/><Relationship Id="rId54" Type="http://schemas.openxmlformats.org/officeDocument/2006/relationships/hyperlink" Target="exported_rc_sets/flagged_similar/RC-HARD-260905-0081.txt" TargetMode="External"/><Relationship Id="rId62" Type="http://schemas.openxmlformats.org/officeDocument/2006/relationships/hyperlink" Target="exported_rc_sets/flagged_similar/RC-MEDIUM-260904-0057.txt" TargetMode="External"/><Relationship Id="rId70" Type="http://schemas.openxmlformats.org/officeDocument/2006/relationships/hyperlink" Target="exported_rc_sets/RC-MEDIUM-260907-0066.txt" TargetMode="External"/><Relationship Id="rId75" Type="http://schemas.openxmlformats.org/officeDocument/2006/relationships/hyperlink" Target="exported_rc_sets/RC_E_0705_2.txt" TargetMode="External"/><Relationship Id="rId1" Type="http://schemas.openxmlformats.org/officeDocument/2006/relationships/hyperlink" Target="exported_rc_sets/RC-ELITE-260904-0074.txt" TargetMode="External"/><Relationship Id="rId6" Type="http://schemas.openxmlformats.org/officeDocument/2006/relationships/hyperlink" Target="exported_rc_sets/RC-HARD-260912-0091.txt" TargetMode="External"/><Relationship Id="rId15" Type="http://schemas.openxmlformats.org/officeDocument/2006/relationships/hyperlink" Target="exported_rc_sets/flagged_similar/RC-ELITE-260905-0075.txt" TargetMode="External"/><Relationship Id="rId23" Type="http://schemas.openxmlformats.org/officeDocument/2006/relationships/hyperlink" Target="exported_rc_sets/RC-ELITE-260822-0062.txt" TargetMode="External"/><Relationship Id="rId28" Type="http://schemas.openxmlformats.org/officeDocument/2006/relationships/hyperlink" Target="exported_rc_sets/RC-HARD-260905-0082.txt" TargetMode="External"/><Relationship Id="rId36" Type="http://schemas.openxmlformats.org/officeDocument/2006/relationships/hyperlink" Target="exported_rc_sets/RC-HARD-260914-0096.txt" TargetMode="External"/><Relationship Id="rId49" Type="http://schemas.openxmlformats.org/officeDocument/2006/relationships/hyperlink" Target="exported_rc_sets/flagged_similar/RC-HARD-260904-0079.txt" TargetMode="External"/><Relationship Id="rId57" Type="http://schemas.openxmlformats.org/officeDocument/2006/relationships/hyperlink" Target="exported_rc_sets/flagged_similar/RC-MEDIUM-260914-0076.txt" TargetMode="External"/><Relationship Id="rId10" Type="http://schemas.openxmlformats.org/officeDocument/2006/relationships/hyperlink" Target="exported_rc_sets/RC-HARD-260726-0022.txt" TargetMode="External"/><Relationship Id="rId31" Type="http://schemas.openxmlformats.org/officeDocument/2006/relationships/hyperlink" Target="exported_rc_sets/RC-HARD-260819-0050.txt" TargetMode="External"/><Relationship Id="rId44" Type="http://schemas.openxmlformats.org/officeDocument/2006/relationships/hyperlink" Target="exported_rc_sets/flagged_similar/RC-ELITE-260914-0089.txt" TargetMode="External"/><Relationship Id="rId52" Type="http://schemas.openxmlformats.org/officeDocument/2006/relationships/hyperlink" Target="exported_rc_sets/flagged_similar/RC-HARD-260904-0080.txt" TargetMode="External"/><Relationship Id="rId60" Type="http://schemas.openxmlformats.org/officeDocument/2006/relationships/hyperlink" Target="exported_rc_sets/flagged_similar/RC-MEDIUM-260904-0058.txt" TargetMode="External"/><Relationship Id="rId65" Type="http://schemas.openxmlformats.org/officeDocument/2006/relationships/hyperlink" Target="exported_rc_sets/RC-ELITE-260905-0080.txt" TargetMode="External"/><Relationship Id="rId73" Type="http://schemas.openxmlformats.org/officeDocument/2006/relationships/hyperlink" Target="exported_rc_sets/RC-MANUAL-260708-10_medium.txt" TargetMode="External"/><Relationship Id="rId78" Type="http://schemas.openxmlformats.org/officeDocument/2006/relationships/vmlDrawing" Target="../drawings/vmlDrawing2.vml"/><Relationship Id="rId4" Type="http://schemas.openxmlformats.org/officeDocument/2006/relationships/hyperlink" Target="exported_rc_sets/RC-HARD-260811-0046.txt" TargetMode="External"/><Relationship Id="rId9" Type="http://schemas.openxmlformats.org/officeDocument/2006/relationships/hyperlink" Target="exported_rc_sets/RC-ELITE-260707-0022.txt" TargetMode="External"/><Relationship Id="rId13" Type="http://schemas.openxmlformats.org/officeDocument/2006/relationships/hyperlink" Target="exported_rc_sets/RC-HARD-260726-0015.txt" TargetMode="External"/><Relationship Id="rId18" Type="http://schemas.openxmlformats.org/officeDocument/2006/relationships/hyperlink" Target="exported_rc_sets/post_housevoice_fix/RC-ELITE-260822-0060.txt" TargetMode="External"/><Relationship Id="rId39" Type="http://schemas.openxmlformats.org/officeDocument/2006/relationships/hyperlink" Target="exported_rc_sets/RC-HARD-260901-0077.txt" TargetMode="External"/><Relationship Id="rId34" Type="http://schemas.openxmlformats.org/officeDocument/2006/relationships/hyperlink" Target="exported_rc_sets/2026-09-01-0901-v2/RC-HARD-260901-0074.txt" TargetMode="External"/><Relationship Id="rId50" Type="http://schemas.openxmlformats.org/officeDocument/2006/relationships/hyperlink" Target="exported_rc_sets/flagged_similar/RC-HARD-260905-0084.txt" TargetMode="External"/><Relationship Id="rId55" Type="http://schemas.openxmlformats.org/officeDocument/2006/relationships/hyperlink" Target="exported_rc_sets/flagged_similar/RC-MEDIUM-260904-0060.txt" TargetMode="External"/><Relationship Id="rId76" Type="http://schemas.openxmlformats.org/officeDocument/2006/relationships/hyperlink" Target="exported_rc_sets/rc_hard_0004.txt" TargetMode="External"/><Relationship Id="rId7" Type="http://schemas.openxmlformats.org/officeDocument/2006/relationships/hyperlink" Target="exported_rc_sets/RC-ELITE-260711-0023.txt" TargetMode="External"/><Relationship Id="rId71" Type="http://schemas.openxmlformats.org/officeDocument/2006/relationships/hyperlink" Target="exported_rc_sets/flagged_similar/RC-HARD-260904-0078.txt" TargetMode="External"/><Relationship Id="rId2" Type="http://schemas.openxmlformats.org/officeDocument/2006/relationships/hyperlink" Target="exported_rc_sets/RC-ELITE-260822-0057.txt" TargetMode="External"/><Relationship Id="rId29" Type="http://schemas.openxmlformats.org/officeDocument/2006/relationships/hyperlink" Target="exported_rc_sets/RC-HARD-260905-0085.tx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5"/>
  <sheetViews>
    <sheetView tabSelected="1" workbookViewId="0"/>
  </sheetViews>
  <sheetFormatPr defaultRowHeight="14.4" x14ac:dyDescent="0.3"/>
  <cols>
    <col min="1" max="1" width="46" customWidth="1"/>
    <col min="2" max="2" width="10" customWidth="1"/>
    <col min="3" max="3" width="12" customWidth="1"/>
    <col min="4" max="4" width="13" customWidth="1"/>
    <col min="5" max="5" width="15" customWidth="1"/>
  </cols>
  <sheetData>
    <row r="1" spans="1:4" ht="16.95" customHeight="1" x14ac:dyDescent="0.3">
      <c r="A1" s="1" t="s">
        <v>0</v>
      </c>
    </row>
    <row r="2" spans="1:4" x14ac:dyDescent="0.3">
      <c r="A2" s="2" t="s">
        <v>1</v>
      </c>
    </row>
    <row r="3" spans="1:4" x14ac:dyDescent="0.3">
      <c r="A3" s="2" t="s">
        <v>2</v>
      </c>
    </row>
    <row r="5" spans="1:4" x14ac:dyDescent="0.3">
      <c r="A5" s="3" t="s">
        <v>3</v>
      </c>
      <c r="B5" s="4">
        <v>175</v>
      </c>
    </row>
    <row r="6" spans="1:4" x14ac:dyDescent="0.3">
      <c r="A6" s="3" t="s">
        <v>4</v>
      </c>
      <c r="B6" s="4">
        <v>98</v>
      </c>
    </row>
    <row r="7" spans="1:4" x14ac:dyDescent="0.3">
      <c r="A7" s="3" t="s">
        <v>5</v>
      </c>
      <c r="B7" s="5">
        <f>COUNTA('Available RCs'!$A:$A)-1</f>
        <v>77</v>
      </c>
    </row>
    <row r="8" spans="1:4" x14ac:dyDescent="0.3">
      <c r="A8" s="3" t="s">
        <v>6</v>
      </c>
      <c r="B8" s="5">
        <f>COUNTIF('Available RCs'!$D:$D,8)</f>
        <v>65</v>
      </c>
    </row>
    <row r="9" spans="1:4" x14ac:dyDescent="0.3">
      <c r="A9" s="3" t="s">
        <v>7</v>
      </c>
      <c r="B9" s="5">
        <f>COUNTIF('Available RCs'!$D:$D,6)</f>
        <v>12</v>
      </c>
    </row>
    <row r="10" spans="1:4" x14ac:dyDescent="0.3">
      <c r="A10" s="3" t="s">
        <v>8</v>
      </c>
      <c r="B10" s="5">
        <f>COUNTIF('Available RCs'!$E:$E,"Y")</f>
        <v>0</v>
      </c>
    </row>
    <row r="11" spans="1:4" x14ac:dyDescent="0.3">
      <c r="A11" s="3" t="s">
        <v>9</v>
      </c>
      <c r="B11" s="5">
        <f>B7-B10</f>
        <v>77</v>
      </c>
    </row>
    <row r="13" spans="1:4" x14ac:dyDescent="0.3">
      <c r="A13" s="6" t="s">
        <v>10</v>
      </c>
      <c r="B13" s="6" t="s">
        <v>11</v>
      </c>
      <c r="C13" s="6" t="s">
        <v>12</v>
      </c>
      <c r="D13" s="6" t="s">
        <v>13</v>
      </c>
    </row>
    <row r="14" spans="1:4" x14ac:dyDescent="0.3">
      <c r="A14" s="3" t="s">
        <v>14</v>
      </c>
      <c r="B14" s="7">
        <f>COUNTIF('Available RCs'!$I:$I,$A14)</f>
        <v>17</v>
      </c>
      <c r="C14" s="7">
        <f>COUNTIFS('Available RCs'!$I:$I,$A14,'Available RCs'!$E:$E,"Y")</f>
        <v>0</v>
      </c>
      <c r="D14" s="7">
        <f>B14-C14</f>
        <v>17</v>
      </c>
    </row>
    <row r="15" spans="1:4" x14ac:dyDescent="0.3">
      <c r="A15" s="3" t="s">
        <v>15</v>
      </c>
      <c r="B15" s="7">
        <f>COUNTIF('Available RCs'!$I:$I,$A15)</f>
        <v>46</v>
      </c>
      <c r="C15" s="7">
        <f>COUNTIFS('Available RCs'!$I:$I,$A15,'Available RCs'!$E:$E,"Y")</f>
        <v>0</v>
      </c>
      <c r="D15" s="7">
        <f>B15-C15</f>
        <v>46</v>
      </c>
    </row>
    <row r="16" spans="1:4" x14ac:dyDescent="0.3">
      <c r="A16" s="3" t="s">
        <v>16</v>
      </c>
      <c r="B16" s="7">
        <f>COUNTIF('Available RCs'!$I:$I,$A16)</f>
        <v>9</v>
      </c>
      <c r="C16" s="7">
        <f>COUNTIFS('Available RCs'!$I:$I,$A16,'Available RCs'!$E:$E,"Y")</f>
        <v>0</v>
      </c>
      <c r="D16" s="7">
        <f>B16-C16</f>
        <v>9</v>
      </c>
    </row>
    <row r="17" spans="1:5" x14ac:dyDescent="0.3">
      <c r="A17" s="3" t="s">
        <v>17</v>
      </c>
      <c r="B17" s="7">
        <f>COUNTIF('Available RCs'!$I:$I,$A17)</f>
        <v>1</v>
      </c>
      <c r="C17" s="7">
        <f>COUNTIFS('Available RCs'!$I:$I,$A17,'Available RCs'!$E:$E,"Y")</f>
        <v>0</v>
      </c>
      <c r="D17" s="7">
        <f>B17-C17</f>
        <v>1</v>
      </c>
    </row>
    <row r="18" spans="1:5" x14ac:dyDescent="0.3">
      <c r="A18" s="3" t="s">
        <v>18</v>
      </c>
      <c r="B18" s="7">
        <f>COUNTIF('Available RCs'!$I:$I,$A18)</f>
        <v>4</v>
      </c>
      <c r="C18" s="7">
        <f>COUNTIFS('Available RCs'!$I:$I,$A18,'Available RCs'!$E:$E,"Y")</f>
        <v>0</v>
      </c>
      <c r="D18" s="7">
        <f>B18-C18</f>
        <v>4</v>
      </c>
    </row>
    <row r="19" spans="1:5" x14ac:dyDescent="0.3">
      <c r="A19" s="8" t="s">
        <v>19</v>
      </c>
      <c r="B19" s="5">
        <f>SUM(B14:B18)</f>
        <v>77</v>
      </c>
      <c r="C19" s="5">
        <f>SUM(C14:C18)</f>
        <v>0</v>
      </c>
      <c r="D19" s="5">
        <f>SUM(D14:D18)</f>
        <v>77</v>
      </c>
    </row>
    <row r="21" spans="1:5" x14ac:dyDescent="0.3">
      <c r="A21" s="6" t="s">
        <v>20</v>
      </c>
      <c r="B21" s="6" t="s">
        <v>11</v>
      </c>
      <c r="C21" s="6" t="s">
        <v>21</v>
      </c>
      <c r="D21" s="6" t="s">
        <v>12</v>
      </c>
      <c r="E21" s="6" t="s">
        <v>13</v>
      </c>
    </row>
    <row r="22" spans="1:5" x14ac:dyDescent="0.3">
      <c r="A22" s="3" t="s">
        <v>22</v>
      </c>
      <c r="B22" s="7">
        <f>COUNTIF('Available RCs'!$H:$H,$A22)</f>
        <v>26</v>
      </c>
      <c r="C22" s="7">
        <f>COUNTIFS('Available RCs'!$H:$H,$A22,'Available RCs'!$I:$I,"approved")</f>
        <v>8</v>
      </c>
      <c r="D22" s="7">
        <f>COUNTIFS('Available RCs'!$H:$H,$A22,'Available RCs'!$E:$E,"Y")</f>
        <v>0</v>
      </c>
      <c r="E22" s="7">
        <f>B22-D22</f>
        <v>26</v>
      </c>
    </row>
    <row r="23" spans="1:5" x14ac:dyDescent="0.3">
      <c r="A23" s="3" t="s">
        <v>23</v>
      </c>
      <c r="B23" s="7">
        <f>COUNTIF('Available RCs'!$H:$H,$A23)</f>
        <v>33</v>
      </c>
      <c r="C23" s="7">
        <f>COUNTIFS('Available RCs'!$H:$H,$A23,'Available RCs'!$I:$I,"approved")</f>
        <v>8</v>
      </c>
      <c r="D23" s="7">
        <f>COUNTIFS('Available RCs'!$H:$H,$A23,'Available RCs'!$E:$E,"Y")</f>
        <v>0</v>
      </c>
      <c r="E23" s="7">
        <f>B23-D23</f>
        <v>33</v>
      </c>
    </row>
    <row r="24" spans="1:5" x14ac:dyDescent="0.3">
      <c r="A24" s="3" t="s">
        <v>24</v>
      </c>
      <c r="B24" s="7">
        <f>COUNTIF('Available RCs'!$H:$H,$A24)</f>
        <v>18</v>
      </c>
      <c r="C24" s="7">
        <f>COUNTIFS('Available RCs'!$H:$H,$A24,'Available RCs'!$I:$I,"approved")</f>
        <v>1</v>
      </c>
      <c r="D24" s="7">
        <f>COUNTIFS('Available RCs'!$H:$H,$A24,'Available RCs'!$E:$E,"Y")</f>
        <v>0</v>
      </c>
      <c r="E24" s="7">
        <f>B24-D24</f>
        <v>18</v>
      </c>
    </row>
    <row r="25" spans="1:5" x14ac:dyDescent="0.3">
      <c r="A25" s="8" t="s">
        <v>19</v>
      </c>
      <c r="B25" s="5">
        <f>SUM(B22:B24)</f>
        <v>77</v>
      </c>
      <c r="C25" s="5">
        <f>SUM(C22:C24)</f>
        <v>17</v>
      </c>
      <c r="D25" s="5">
        <f>SUM(D22:D24)</f>
        <v>0</v>
      </c>
      <c r="E25" s="5">
        <f>SUM(E22:E24)</f>
        <v>77</v>
      </c>
    </row>
    <row r="27" spans="1:5" x14ac:dyDescent="0.3">
      <c r="A27" s="6" t="s">
        <v>25</v>
      </c>
      <c r="B27" s="6" t="s">
        <v>11</v>
      </c>
      <c r="C27" s="6" t="s">
        <v>21</v>
      </c>
      <c r="D27" s="6" t="s">
        <v>12</v>
      </c>
      <c r="E27" s="6" t="s">
        <v>13</v>
      </c>
    </row>
    <row r="28" spans="1:5" x14ac:dyDescent="0.3">
      <c r="A28" s="3" t="s">
        <v>26</v>
      </c>
      <c r="B28" s="7">
        <f>COUNTIF('Available RCs'!$B:$B,$A28)</f>
        <v>12</v>
      </c>
      <c r="C28" s="7">
        <f>COUNTIFS('Available RCs'!$B:$B,$A28,'Available RCs'!$I:$I,"approved")</f>
        <v>1</v>
      </c>
      <c r="D28" s="7">
        <f>COUNTIFS('Available RCs'!$B:$B,$A28,'Available RCs'!$E:$E,"Y")</f>
        <v>0</v>
      </c>
      <c r="E28" s="7">
        <f t="shared" ref="E28:E41" si="0">B28-D28</f>
        <v>12</v>
      </c>
    </row>
    <row r="29" spans="1:5" x14ac:dyDescent="0.3">
      <c r="A29" s="3" t="s">
        <v>27</v>
      </c>
      <c r="B29" s="7">
        <f>COUNTIF('Available RCs'!$B:$B,$A29)</f>
        <v>8</v>
      </c>
      <c r="C29" s="7">
        <f>COUNTIFS('Available RCs'!$B:$B,$A29,'Available RCs'!$I:$I,"approved")</f>
        <v>0</v>
      </c>
      <c r="D29" s="7">
        <f>COUNTIFS('Available RCs'!$B:$B,$A29,'Available RCs'!$E:$E,"Y")</f>
        <v>0</v>
      </c>
      <c r="E29" s="7">
        <f t="shared" si="0"/>
        <v>8</v>
      </c>
    </row>
    <row r="30" spans="1:5" x14ac:dyDescent="0.3">
      <c r="A30" s="3" t="s">
        <v>28</v>
      </c>
      <c r="B30" s="7">
        <f>COUNTIF('Available RCs'!$B:$B,$A30)</f>
        <v>7</v>
      </c>
      <c r="C30" s="7">
        <f>COUNTIFS('Available RCs'!$B:$B,$A30,'Available RCs'!$I:$I,"approved")</f>
        <v>1</v>
      </c>
      <c r="D30" s="7">
        <f>COUNTIFS('Available RCs'!$B:$B,$A30,'Available RCs'!$E:$E,"Y")</f>
        <v>0</v>
      </c>
      <c r="E30" s="7">
        <f t="shared" si="0"/>
        <v>7</v>
      </c>
    </row>
    <row r="31" spans="1:5" x14ac:dyDescent="0.3">
      <c r="A31" s="3" t="s">
        <v>29</v>
      </c>
      <c r="B31" s="7">
        <f>COUNTIF('Available RCs'!$B:$B,$A31)</f>
        <v>7</v>
      </c>
      <c r="C31" s="7">
        <f>COUNTIFS('Available RCs'!$B:$B,$A31,'Available RCs'!$I:$I,"approved")</f>
        <v>0</v>
      </c>
      <c r="D31" s="7">
        <f>COUNTIFS('Available RCs'!$B:$B,$A31,'Available RCs'!$E:$E,"Y")</f>
        <v>0</v>
      </c>
      <c r="E31" s="7">
        <f t="shared" si="0"/>
        <v>7</v>
      </c>
    </row>
    <row r="32" spans="1:5" x14ac:dyDescent="0.3">
      <c r="A32" s="3" t="s">
        <v>30</v>
      </c>
      <c r="B32" s="7">
        <f>COUNTIF('Available RCs'!$B:$B,$A32)</f>
        <v>6</v>
      </c>
      <c r="C32" s="7">
        <f>COUNTIFS('Available RCs'!$B:$B,$A32,'Available RCs'!$I:$I,"approved")</f>
        <v>3</v>
      </c>
      <c r="D32" s="7">
        <f>COUNTIFS('Available RCs'!$B:$B,$A32,'Available RCs'!$E:$E,"Y")</f>
        <v>0</v>
      </c>
      <c r="E32" s="7">
        <f t="shared" si="0"/>
        <v>6</v>
      </c>
    </row>
    <row r="33" spans="1:5" x14ac:dyDescent="0.3">
      <c r="A33" s="3" t="s">
        <v>31</v>
      </c>
      <c r="B33" s="7">
        <f>COUNTIF('Available RCs'!$B:$B,$A33)</f>
        <v>5</v>
      </c>
      <c r="C33" s="7">
        <f>COUNTIFS('Available RCs'!$B:$B,$A33,'Available RCs'!$I:$I,"approved")</f>
        <v>3</v>
      </c>
      <c r="D33" s="7">
        <f>COUNTIFS('Available RCs'!$B:$B,$A33,'Available RCs'!$E:$E,"Y")</f>
        <v>0</v>
      </c>
      <c r="E33" s="7">
        <f t="shared" si="0"/>
        <v>5</v>
      </c>
    </row>
    <row r="34" spans="1:5" x14ac:dyDescent="0.3">
      <c r="A34" s="3" t="s">
        <v>32</v>
      </c>
      <c r="B34" s="7">
        <f>COUNTIF('Available RCs'!$B:$B,$A34)</f>
        <v>5</v>
      </c>
      <c r="C34" s="7">
        <f>COUNTIFS('Available RCs'!$B:$B,$A34,'Available RCs'!$I:$I,"approved")</f>
        <v>2</v>
      </c>
      <c r="D34" s="7">
        <f>COUNTIFS('Available RCs'!$B:$B,$A34,'Available RCs'!$E:$E,"Y")</f>
        <v>0</v>
      </c>
      <c r="E34" s="7">
        <f t="shared" si="0"/>
        <v>5</v>
      </c>
    </row>
    <row r="35" spans="1:5" x14ac:dyDescent="0.3">
      <c r="A35" s="3" t="s">
        <v>33</v>
      </c>
      <c r="B35" s="7">
        <f>COUNTIF('Available RCs'!$B:$B,$A35)</f>
        <v>5</v>
      </c>
      <c r="C35" s="7">
        <f>COUNTIFS('Available RCs'!$B:$B,$A35,'Available RCs'!$I:$I,"approved")</f>
        <v>1</v>
      </c>
      <c r="D35" s="7">
        <f>COUNTIFS('Available RCs'!$B:$B,$A35,'Available RCs'!$E:$E,"Y")</f>
        <v>0</v>
      </c>
      <c r="E35" s="7">
        <f t="shared" si="0"/>
        <v>5</v>
      </c>
    </row>
    <row r="36" spans="1:5" x14ac:dyDescent="0.3">
      <c r="A36" s="3" t="s">
        <v>34</v>
      </c>
      <c r="B36" s="7">
        <f>COUNTIF('Available RCs'!$B:$B,$A36)</f>
        <v>5</v>
      </c>
      <c r="C36" s="7">
        <f>COUNTIFS('Available RCs'!$B:$B,$A36,'Available RCs'!$I:$I,"approved")</f>
        <v>1</v>
      </c>
      <c r="D36" s="7">
        <f>COUNTIFS('Available RCs'!$B:$B,$A36,'Available RCs'!$E:$E,"Y")</f>
        <v>0</v>
      </c>
      <c r="E36" s="7">
        <f t="shared" si="0"/>
        <v>5</v>
      </c>
    </row>
    <row r="37" spans="1:5" x14ac:dyDescent="0.3">
      <c r="A37" s="3" t="s">
        <v>35</v>
      </c>
      <c r="B37" s="7">
        <f>COUNTIF('Available RCs'!$B:$B,$A37)</f>
        <v>5</v>
      </c>
      <c r="C37" s="7">
        <f>COUNTIFS('Available RCs'!$B:$B,$A37,'Available RCs'!$I:$I,"approved")</f>
        <v>2</v>
      </c>
      <c r="D37" s="7">
        <f>COUNTIFS('Available RCs'!$B:$B,$A37,'Available RCs'!$E:$E,"Y")</f>
        <v>0</v>
      </c>
      <c r="E37" s="7">
        <f t="shared" si="0"/>
        <v>5</v>
      </c>
    </row>
    <row r="38" spans="1:5" x14ac:dyDescent="0.3">
      <c r="A38" s="3" t="s">
        <v>36</v>
      </c>
      <c r="B38" s="7">
        <f>COUNTIF('Available RCs'!$B:$B,$A38)</f>
        <v>4</v>
      </c>
      <c r="C38" s="7">
        <f>COUNTIFS('Available RCs'!$B:$B,$A38,'Available RCs'!$I:$I,"approved")</f>
        <v>0</v>
      </c>
      <c r="D38" s="7">
        <f>COUNTIFS('Available RCs'!$B:$B,$A38,'Available RCs'!$E:$E,"Y")</f>
        <v>0</v>
      </c>
      <c r="E38" s="7">
        <f t="shared" si="0"/>
        <v>4</v>
      </c>
    </row>
    <row r="39" spans="1:5" x14ac:dyDescent="0.3">
      <c r="A39" s="3" t="s">
        <v>37</v>
      </c>
      <c r="B39" s="7">
        <f>COUNTIF('Available RCs'!$B:$B,$A39)</f>
        <v>4</v>
      </c>
      <c r="C39" s="7">
        <f>COUNTIFS('Available RCs'!$B:$B,$A39,'Available RCs'!$I:$I,"approved")</f>
        <v>2</v>
      </c>
      <c r="D39" s="7">
        <f>COUNTIFS('Available RCs'!$B:$B,$A39,'Available RCs'!$E:$E,"Y")</f>
        <v>0</v>
      </c>
      <c r="E39" s="7">
        <f t="shared" si="0"/>
        <v>4</v>
      </c>
    </row>
    <row r="40" spans="1:5" x14ac:dyDescent="0.3">
      <c r="A40" s="3" t="s">
        <v>38</v>
      </c>
      <c r="B40" s="7">
        <f>COUNTIF('Available RCs'!$B:$B,$A40)</f>
        <v>3</v>
      </c>
      <c r="C40" s="7">
        <f>COUNTIFS('Available RCs'!$B:$B,$A40,'Available RCs'!$I:$I,"approved")</f>
        <v>0</v>
      </c>
      <c r="D40" s="7">
        <f>COUNTIFS('Available RCs'!$B:$B,$A40,'Available RCs'!$E:$E,"Y")</f>
        <v>0</v>
      </c>
      <c r="E40" s="7">
        <f t="shared" si="0"/>
        <v>3</v>
      </c>
    </row>
    <row r="41" spans="1:5" x14ac:dyDescent="0.3">
      <c r="A41" s="3" t="s">
        <v>39</v>
      </c>
      <c r="B41" s="7">
        <f>COUNTIF('Available RCs'!$B:$B,$A41)</f>
        <v>1</v>
      </c>
      <c r="C41" s="7">
        <f>COUNTIFS('Available RCs'!$B:$B,$A41,'Available RCs'!$I:$I,"approved")</f>
        <v>1</v>
      </c>
      <c r="D41" s="7">
        <f>COUNTIFS('Available RCs'!$B:$B,$A41,'Available RCs'!$E:$E,"Y")</f>
        <v>0</v>
      </c>
      <c r="E41" s="7">
        <f t="shared" si="0"/>
        <v>1</v>
      </c>
    </row>
    <row r="42" spans="1:5" x14ac:dyDescent="0.3">
      <c r="A42" s="8" t="s">
        <v>19</v>
      </c>
      <c r="B42" s="5">
        <f>SUM(B28:B41)</f>
        <v>77</v>
      </c>
      <c r="C42" s="5">
        <f>SUM(C28:C41)</f>
        <v>17</v>
      </c>
      <c r="D42" s="5">
        <f>SUM(D28:D41)</f>
        <v>0</v>
      </c>
      <c r="E42" s="5">
        <f>SUM(E28:E41)</f>
        <v>77</v>
      </c>
    </row>
    <row r="44" spans="1:5" x14ac:dyDescent="0.3">
      <c r="A44" s="8" t="s">
        <v>40</v>
      </c>
    </row>
    <row r="45" spans="1:5" x14ac:dyDescent="0.3">
      <c r="A45" s="3" t="s">
        <v>41</v>
      </c>
    </row>
    <row r="46" spans="1:5" x14ac:dyDescent="0.3">
      <c r="A46" s="3" t="s">
        <v>42</v>
      </c>
    </row>
    <row r="47" spans="1:5" x14ac:dyDescent="0.3">
      <c r="A47" s="3" t="s">
        <v>43</v>
      </c>
    </row>
    <row r="48" spans="1:5" x14ac:dyDescent="0.3">
      <c r="A48" s="3" t="s">
        <v>44</v>
      </c>
    </row>
    <row r="49" spans="1:1" x14ac:dyDescent="0.3">
      <c r="A49" s="3"/>
    </row>
    <row r="50" spans="1:1" x14ac:dyDescent="0.3">
      <c r="A50" s="8" t="s">
        <v>45</v>
      </c>
    </row>
    <row r="51" spans="1:1" x14ac:dyDescent="0.3">
      <c r="A51" s="3" t="s">
        <v>46</v>
      </c>
    </row>
    <row r="52" spans="1:1" x14ac:dyDescent="0.3">
      <c r="A52" s="3" t="s">
        <v>47</v>
      </c>
    </row>
    <row r="53" spans="1:1" x14ac:dyDescent="0.3">
      <c r="A53" s="3" t="s">
        <v>48</v>
      </c>
    </row>
    <row r="54" spans="1:1" x14ac:dyDescent="0.3">
      <c r="A54" s="3" t="s">
        <v>49</v>
      </c>
    </row>
    <row r="55" spans="1:1" x14ac:dyDescent="0.3">
      <c r="A55" s="3" t="s">
        <v>50</v>
      </c>
    </row>
    <row r="56" spans="1:1" x14ac:dyDescent="0.3">
      <c r="A56" s="3"/>
    </row>
    <row r="57" spans="1:1" x14ac:dyDescent="0.3">
      <c r="A57" s="8" t="s">
        <v>51</v>
      </c>
    </row>
    <row r="58" spans="1:1" x14ac:dyDescent="0.3">
      <c r="A58" s="3" t="s">
        <v>52</v>
      </c>
    </row>
    <row r="59" spans="1:1" x14ac:dyDescent="0.3">
      <c r="A59" s="3" t="s">
        <v>53</v>
      </c>
    </row>
    <row r="60" spans="1:1" x14ac:dyDescent="0.3">
      <c r="A60" s="3" t="s">
        <v>54</v>
      </c>
    </row>
    <row r="61" spans="1:1" x14ac:dyDescent="0.3">
      <c r="A61" s="3" t="s">
        <v>55</v>
      </c>
    </row>
    <row r="62" spans="1:1" x14ac:dyDescent="0.3">
      <c r="A62" s="3"/>
    </row>
    <row r="63" spans="1:1" x14ac:dyDescent="0.3">
      <c r="A63" s="8" t="s">
        <v>56</v>
      </c>
    </row>
    <row r="64" spans="1:1" x14ac:dyDescent="0.3">
      <c r="A64" s="3" t="s">
        <v>57</v>
      </c>
    </row>
    <row r="65" spans="1:1" x14ac:dyDescent="0.3">
      <c r="A65" s="3" t="s">
        <v>58</v>
      </c>
    </row>
  </sheetData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78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24" customWidth="1"/>
    <col min="2" max="2" width="27" customWidth="1"/>
    <col min="3" max="3" width="16" customWidth="1"/>
    <col min="4" max="4" width="12" customWidth="1"/>
    <col min="5" max="5" width="13" customWidth="1"/>
    <col min="6" max="6" width="22" customWidth="1"/>
    <col min="7" max="7" width="12" customWidth="1"/>
    <col min="8" max="8" width="8" customWidth="1"/>
    <col min="9" max="9" width="15" customWidth="1"/>
    <col min="10" max="11" width="62" customWidth="1"/>
    <col min="12" max="12" width="13" customWidth="1"/>
  </cols>
  <sheetData>
    <row r="1" spans="1:12" ht="31.95" customHeight="1" x14ac:dyDescent="0.3">
      <c r="A1" s="6" t="s">
        <v>59</v>
      </c>
      <c r="B1" s="6" t="s">
        <v>25</v>
      </c>
      <c r="C1" s="6" t="s">
        <v>60</v>
      </c>
      <c r="D1" s="6" t="s">
        <v>61</v>
      </c>
      <c r="E1" s="6" t="s">
        <v>62</v>
      </c>
      <c r="F1" s="6" t="s">
        <v>63</v>
      </c>
      <c r="G1" s="6" t="s">
        <v>64</v>
      </c>
      <c r="H1" s="6" t="s">
        <v>20</v>
      </c>
      <c r="I1" s="6" t="s">
        <v>10</v>
      </c>
      <c r="J1" s="6" t="s">
        <v>65</v>
      </c>
      <c r="K1" s="6" t="s">
        <v>66</v>
      </c>
      <c r="L1" s="6" t="s">
        <v>67</v>
      </c>
    </row>
    <row r="2" spans="1:12" x14ac:dyDescent="0.3">
      <c r="A2" s="3" t="s">
        <v>68</v>
      </c>
      <c r="B2" s="3" t="s">
        <v>31</v>
      </c>
      <c r="C2" s="7">
        <v>545</v>
      </c>
      <c r="D2" s="7">
        <v>8</v>
      </c>
      <c r="E2" s="9" t="s">
        <v>69</v>
      </c>
      <c r="F2" s="10"/>
      <c r="G2" s="11"/>
      <c r="H2" s="7" t="s">
        <v>22</v>
      </c>
      <c r="I2" s="12" t="s">
        <v>14</v>
      </c>
      <c r="J2" s="3"/>
      <c r="K2" s="13" t="s">
        <v>70</v>
      </c>
      <c r="L2" s="7"/>
    </row>
    <row r="3" spans="1:12" x14ac:dyDescent="0.3">
      <c r="A3" s="3" t="s">
        <v>71</v>
      </c>
      <c r="B3" s="3" t="s">
        <v>35</v>
      </c>
      <c r="C3" s="7">
        <v>535</v>
      </c>
      <c r="D3" s="7">
        <v>8</v>
      </c>
      <c r="E3" s="9" t="s">
        <v>69</v>
      </c>
      <c r="F3" s="10"/>
      <c r="G3" s="11"/>
      <c r="H3" s="7" t="s">
        <v>22</v>
      </c>
      <c r="I3" s="12" t="s">
        <v>14</v>
      </c>
      <c r="J3" s="3" t="s">
        <v>72</v>
      </c>
      <c r="K3" s="13" t="s">
        <v>73</v>
      </c>
      <c r="L3" s="5" t="s">
        <v>74</v>
      </c>
    </row>
    <row r="4" spans="1:12" x14ac:dyDescent="0.3">
      <c r="A4" s="3" t="s">
        <v>75</v>
      </c>
      <c r="B4" s="3" t="s">
        <v>31</v>
      </c>
      <c r="C4" s="7">
        <v>532</v>
      </c>
      <c r="D4" s="7">
        <v>8</v>
      </c>
      <c r="E4" s="9" t="s">
        <v>69</v>
      </c>
      <c r="F4" s="10"/>
      <c r="G4" s="11"/>
      <c r="H4" s="7" t="s">
        <v>23</v>
      </c>
      <c r="I4" s="12" t="s">
        <v>14</v>
      </c>
      <c r="J4" s="3"/>
      <c r="K4" s="13" t="s">
        <v>76</v>
      </c>
      <c r="L4" s="5" t="s">
        <v>74</v>
      </c>
    </row>
    <row r="5" spans="1:12" x14ac:dyDescent="0.3">
      <c r="A5" s="3" t="s">
        <v>77</v>
      </c>
      <c r="B5" s="3" t="s">
        <v>30</v>
      </c>
      <c r="C5" s="7">
        <v>512</v>
      </c>
      <c r="D5" s="7">
        <v>8</v>
      </c>
      <c r="E5" s="9" t="s">
        <v>69</v>
      </c>
      <c r="F5" s="10"/>
      <c r="G5" s="11"/>
      <c r="H5" s="7" t="s">
        <v>23</v>
      </c>
      <c r="I5" s="12" t="s">
        <v>14</v>
      </c>
      <c r="J5" s="3" t="s">
        <v>72</v>
      </c>
      <c r="K5" s="13" t="s">
        <v>78</v>
      </c>
      <c r="L5" s="5" t="s">
        <v>79</v>
      </c>
    </row>
    <row r="6" spans="1:12" x14ac:dyDescent="0.3">
      <c r="A6" s="3" t="s">
        <v>80</v>
      </c>
      <c r="B6" s="3" t="s">
        <v>30</v>
      </c>
      <c r="C6" s="7">
        <v>538</v>
      </c>
      <c r="D6" s="7">
        <v>8</v>
      </c>
      <c r="E6" s="9" t="s">
        <v>69</v>
      </c>
      <c r="F6" s="10"/>
      <c r="G6" s="11"/>
      <c r="H6" s="7" t="s">
        <v>23</v>
      </c>
      <c r="I6" s="12" t="s">
        <v>14</v>
      </c>
      <c r="J6" s="3"/>
      <c r="K6" s="13" t="s">
        <v>81</v>
      </c>
      <c r="L6" s="5" t="s">
        <v>82</v>
      </c>
    </row>
    <row r="7" spans="1:12" x14ac:dyDescent="0.3">
      <c r="A7" s="3" t="s">
        <v>83</v>
      </c>
      <c r="B7" s="3" t="s">
        <v>28</v>
      </c>
      <c r="C7" s="7">
        <v>548</v>
      </c>
      <c r="D7" s="7">
        <v>8</v>
      </c>
      <c r="E7" s="9" t="s">
        <v>69</v>
      </c>
      <c r="F7" s="10"/>
      <c r="G7" s="11"/>
      <c r="H7" s="7" t="s">
        <v>23</v>
      </c>
      <c r="I7" s="12" t="s">
        <v>14</v>
      </c>
      <c r="J7" s="3"/>
      <c r="K7" s="13" t="s">
        <v>84</v>
      </c>
      <c r="L7" s="5" t="s">
        <v>85</v>
      </c>
    </row>
    <row r="8" spans="1:12" x14ac:dyDescent="0.3">
      <c r="A8" s="3" t="s">
        <v>86</v>
      </c>
      <c r="B8" s="3" t="s">
        <v>30</v>
      </c>
      <c r="C8" s="7">
        <v>532</v>
      </c>
      <c r="D8" s="7">
        <v>6</v>
      </c>
      <c r="E8" s="9" t="s">
        <v>69</v>
      </c>
      <c r="F8" s="10"/>
      <c r="G8" s="11"/>
      <c r="H8" s="7" t="s">
        <v>22</v>
      </c>
      <c r="I8" s="12" t="s">
        <v>14</v>
      </c>
      <c r="J8" s="3" t="s">
        <v>87</v>
      </c>
      <c r="K8" s="13" t="s">
        <v>88</v>
      </c>
      <c r="L8" s="7"/>
    </row>
    <row r="9" spans="1:12" x14ac:dyDescent="0.3">
      <c r="A9" s="3" t="s">
        <v>89</v>
      </c>
      <c r="B9" s="3" t="s">
        <v>33</v>
      </c>
      <c r="C9" s="7">
        <v>573</v>
      </c>
      <c r="D9" s="7">
        <v>6</v>
      </c>
      <c r="E9" s="9" t="s">
        <v>69</v>
      </c>
      <c r="F9" s="10"/>
      <c r="G9" s="11"/>
      <c r="H9" s="7" t="s">
        <v>22</v>
      </c>
      <c r="I9" s="12" t="s">
        <v>14</v>
      </c>
      <c r="J9" s="3" t="s">
        <v>90</v>
      </c>
      <c r="K9" s="13" t="s">
        <v>91</v>
      </c>
      <c r="L9" s="7"/>
    </row>
    <row r="10" spans="1:12" x14ac:dyDescent="0.3">
      <c r="A10" s="3" t="s">
        <v>92</v>
      </c>
      <c r="B10" s="3" t="s">
        <v>37</v>
      </c>
      <c r="C10" s="7">
        <v>575</v>
      </c>
      <c r="D10" s="7">
        <v>6</v>
      </c>
      <c r="E10" s="9" t="s">
        <v>69</v>
      </c>
      <c r="F10" s="10"/>
      <c r="G10" s="11"/>
      <c r="H10" s="7" t="s">
        <v>22</v>
      </c>
      <c r="I10" s="12" t="s">
        <v>14</v>
      </c>
      <c r="J10" s="3" t="s">
        <v>87</v>
      </c>
      <c r="K10" s="13" t="s">
        <v>93</v>
      </c>
      <c r="L10" s="7"/>
    </row>
    <row r="11" spans="1:12" x14ac:dyDescent="0.3">
      <c r="A11" s="3" t="s">
        <v>94</v>
      </c>
      <c r="B11" s="3" t="s">
        <v>39</v>
      </c>
      <c r="C11" s="7">
        <v>518</v>
      </c>
      <c r="D11" s="7">
        <v>6</v>
      </c>
      <c r="E11" s="9" t="s">
        <v>69</v>
      </c>
      <c r="F11" s="10"/>
      <c r="G11" s="11"/>
      <c r="H11" s="7" t="s">
        <v>23</v>
      </c>
      <c r="I11" s="12" t="s">
        <v>14</v>
      </c>
      <c r="J11" s="3" t="s">
        <v>87</v>
      </c>
      <c r="K11" s="13" t="s">
        <v>95</v>
      </c>
      <c r="L11" s="7"/>
    </row>
    <row r="12" spans="1:12" x14ac:dyDescent="0.3">
      <c r="A12" s="3" t="s">
        <v>96</v>
      </c>
      <c r="B12" s="3" t="s">
        <v>32</v>
      </c>
      <c r="C12" s="7">
        <v>536</v>
      </c>
      <c r="D12" s="7">
        <v>6</v>
      </c>
      <c r="E12" s="9" t="s">
        <v>69</v>
      </c>
      <c r="F12" s="10"/>
      <c r="G12" s="11"/>
      <c r="H12" s="7" t="s">
        <v>23</v>
      </c>
      <c r="I12" s="12" t="s">
        <v>14</v>
      </c>
      <c r="J12" s="3" t="s">
        <v>87</v>
      </c>
      <c r="K12" s="13" t="s">
        <v>97</v>
      </c>
      <c r="L12" s="7"/>
    </row>
    <row r="13" spans="1:12" x14ac:dyDescent="0.3">
      <c r="A13" s="3" t="s">
        <v>98</v>
      </c>
      <c r="B13" s="3" t="s">
        <v>37</v>
      </c>
      <c r="C13" s="7">
        <v>524</v>
      </c>
      <c r="D13" s="7">
        <v>6</v>
      </c>
      <c r="E13" s="9" t="s">
        <v>69</v>
      </c>
      <c r="F13" s="10"/>
      <c r="G13" s="11"/>
      <c r="H13" s="7" t="s">
        <v>23</v>
      </c>
      <c r="I13" s="12" t="s">
        <v>14</v>
      </c>
      <c r="J13" s="3" t="s">
        <v>87</v>
      </c>
      <c r="K13" s="13" t="s">
        <v>99</v>
      </c>
      <c r="L13" s="7"/>
    </row>
    <row r="14" spans="1:12" x14ac:dyDescent="0.3">
      <c r="A14" s="3" t="s">
        <v>100</v>
      </c>
      <c r="B14" s="3" t="s">
        <v>35</v>
      </c>
      <c r="C14" s="7">
        <v>501</v>
      </c>
      <c r="D14" s="7">
        <v>6</v>
      </c>
      <c r="E14" s="9" t="s">
        <v>69</v>
      </c>
      <c r="F14" s="10"/>
      <c r="G14" s="11"/>
      <c r="H14" s="7" t="s">
        <v>23</v>
      </c>
      <c r="I14" s="12" t="s">
        <v>14</v>
      </c>
      <c r="J14" s="3" t="s">
        <v>87</v>
      </c>
      <c r="K14" s="13" t="s">
        <v>101</v>
      </c>
      <c r="L14" s="7"/>
    </row>
    <row r="15" spans="1:12" x14ac:dyDescent="0.3">
      <c r="A15" s="3" t="s">
        <v>102</v>
      </c>
      <c r="B15" s="3" t="s">
        <v>32</v>
      </c>
      <c r="C15" s="7">
        <v>538</v>
      </c>
      <c r="D15" s="7">
        <v>8</v>
      </c>
      <c r="E15" s="9" t="s">
        <v>69</v>
      </c>
      <c r="F15" s="10"/>
      <c r="G15" s="11"/>
      <c r="H15" s="7" t="s">
        <v>22</v>
      </c>
      <c r="I15" s="12" t="s">
        <v>14</v>
      </c>
      <c r="J15" s="3" t="s">
        <v>103</v>
      </c>
      <c r="K15" s="13" t="s">
        <v>104</v>
      </c>
      <c r="L15" s="5" t="s">
        <v>85</v>
      </c>
    </row>
    <row r="16" spans="1:12" x14ac:dyDescent="0.3">
      <c r="A16" s="3" t="s">
        <v>105</v>
      </c>
      <c r="B16" s="3" t="s">
        <v>26</v>
      </c>
      <c r="C16" s="7">
        <v>549</v>
      </c>
      <c r="D16" s="7">
        <v>8</v>
      </c>
      <c r="E16" s="9" t="s">
        <v>69</v>
      </c>
      <c r="F16" s="10"/>
      <c r="G16" s="11"/>
      <c r="H16" s="7" t="s">
        <v>22</v>
      </c>
      <c r="I16" s="12" t="s">
        <v>14</v>
      </c>
      <c r="J16" s="3" t="s">
        <v>103</v>
      </c>
      <c r="K16" s="13" t="s">
        <v>106</v>
      </c>
      <c r="L16" s="7"/>
    </row>
    <row r="17" spans="1:12" x14ac:dyDescent="0.3">
      <c r="A17" s="3" t="s">
        <v>107</v>
      </c>
      <c r="B17" s="3" t="s">
        <v>34</v>
      </c>
      <c r="C17" s="7">
        <v>528</v>
      </c>
      <c r="D17" s="7">
        <v>8</v>
      </c>
      <c r="E17" s="9" t="s">
        <v>69</v>
      </c>
      <c r="F17" s="10"/>
      <c r="G17" s="11"/>
      <c r="H17" s="7" t="s">
        <v>22</v>
      </c>
      <c r="I17" s="12" t="s">
        <v>14</v>
      </c>
      <c r="J17" s="3" t="s">
        <v>103</v>
      </c>
      <c r="K17" s="13" t="s">
        <v>108</v>
      </c>
      <c r="L17" s="5" t="s">
        <v>82</v>
      </c>
    </row>
    <row r="18" spans="1:12" x14ac:dyDescent="0.3">
      <c r="A18" s="3" t="s">
        <v>109</v>
      </c>
      <c r="B18" s="3" t="s">
        <v>31</v>
      </c>
      <c r="C18" s="7">
        <v>543</v>
      </c>
      <c r="D18" s="7">
        <v>8</v>
      </c>
      <c r="E18" s="9" t="s">
        <v>69</v>
      </c>
      <c r="F18" s="10"/>
      <c r="G18" s="11"/>
      <c r="H18" s="7" t="s">
        <v>24</v>
      </c>
      <c r="I18" s="12" t="s">
        <v>14</v>
      </c>
      <c r="J18" s="3" t="s">
        <v>103</v>
      </c>
      <c r="K18" s="13" t="s">
        <v>110</v>
      </c>
      <c r="L18" s="5" t="s">
        <v>85</v>
      </c>
    </row>
    <row r="19" spans="1:12" x14ac:dyDescent="0.3">
      <c r="A19" s="3" t="s">
        <v>111</v>
      </c>
      <c r="B19" s="3" t="s">
        <v>31</v>
      </c>
      <c r="C19" s="7">
        <v>564</v>
      </c>
      <c r="D19" s="7">
        <v>8</v>
      </c>
      <c r="E19" s="9" t="s">
        <v>69</v>
      </c>
      <c r="F19" s="10"/>
      <c r="G19" s="11"/>
      <c r="H19" s="7" t="s">
        <v>22</v>
      </c>
      <c r="I19" s="14" t="s">
        <v>15</v>
      </c>
      <c r="J19" s="3" t="s">
        <v>112</v>
      </c>
      <c r="K19" s="13" t="s">
        <v>113</v>
      </c>
      <c r="L19" s="7"/>
    </row>
    <row r="20" spans="1:12" x14ac:dyDescent="0.3">
      <c r="A20" s="3" t="s">
        <v>114</v>
      </c>
      <c r="B20" s="3" t="s">
        <v>28</v>
      </c>
      <c r="C20" s="7">
        <v>519</v>
      </c>
      <c r="D20" s="7">
        <v>8</v>
      </c>
      <c r="E20" s="9" t="s">
        <v>69</v>
      </c>
      <c r="F20" s="10"/>
      <c r="G20" s="11"/>
      <c r="H20" s="7" t="s">
        <v>22</v>
      </c>
      <c r="I20" s="14" t="s">
        <v>15</v>
      </c>
      <c r="J20" s="3" t="s">
        <v>72</v>
      </c>
      <c r="K20" s="13" t="s">
        <v>115</v>
      </c>
      <c r="L20" s="7"/>
    </row>
    <row r="21" spans="1:12" x14ac:dyDescent="0.3">
      <c r="A21" s="3" t="s">
        <v>116</v>
      </c>
      <c r="B21" s="3" t="s">
        <v>28</v>
      </c>
      <c r="C21" s="7">
        <v>536</v>
      </c>
      <c r="D21" s="7">
        <v>8</v>
      </c>
      <c r="E21" s="9" t="s">
        <v>69</v>
      </c>
      <c r="F21" s="10"/>
      <c r="G21" s="11"/>
      <c r="H21" s="7" t="s">
        <v>22</v>
      </c>
      <c r="I21" s="14" t="s">
        <v>15</v>
      </c>
      <c r="J21" s="3"/>
      <c r="K21" s="13" t="s">
        <v>117</v>
      </c>
      <c r="L21" s="7"/>
    </row>
    <row r="22" spans="1:12" x14ac:dyDescent="0.3">
      <c r="A22" s="3" t="s">
        <v>118</v>
      </c>
      <c r="B22" s="3" t="s">
        <v>38</v>
      </c>
      <c r="C22" s="7">
        <v>564</v>
      </c>
      <c r="D22" s="7">
        <v>8</v>
      </c>
      <c r="E22" s="9" t="s">
        <v>69</v>
      </c>
      <c r="F22" s="10"/>
      <c r="G22" s="11"/>
      <c r="H22" s="7" t="s">
        <v>22</v>
      </c>
      <c r="I22" s="14" t="s">
        <v>15</v>
      </c>
      <c r="J22" s="3" t="s">
        <v>72</v>
      </c>
      <c r="K22" s="13" t="s">
        <v>119</v>
      </c>
      <c r="L22" s="7"/>
    </row>
    <row r="23" spans="1:12" x14ac:dyDescent="0.3">
      <c r="A23" s="3" t="s">
        <v>120</v>
      </c>
      <c r="B23" s="3" t="s">
        <v>29</v>
      </c>
      <c r="C23" s="7">
        <v>578</v>
      </c>
      <c r="D23" s="7">
        <v>8</v>
      </c>
      <c r="E23" s="9" t="s">
        <v>69</v>
      </c>
      <c r="F23" s="10"/>
      <c r="G23" s="11"/>
      <c r="H23" s="7" t="s">
        <v>22</v>
      </c>
      <c r="I23" s="14" t="s">
        <v>15</v>
      </c>
      <c r="J23" s="3"/>
      <c r="K23" s="13" t="s">
        <v>121</v>
      </c>
      <c r="L23" s="7"/>
    </row>
    <row r="24" spans="1:12" x14ac:dyDescent="0.3">
      <c r="A24" s="3" t="s">
        <v>122</v>
      </c>
      <c r="B24" s="3" t="s">
        <v>33</v>
      </c>
      <c r="C24" s="7">
        <v>525</v>
      </c>
      <c r="D24" s="7">
        <v>8</v>
      </c>
      <c r="E24" s="9" t="s">
        <v>69</v>
      </c>
      <c r="F24" s="10"/>
      <c r="G24" s="11"/>
      <c r="H24" s="7" t="s">
        <v>22</v>
      </c>
      <c r="I24" s="14" t="s">
        <v>15</v>
      </c>
      <c r="J24" s="3"/>
      <c r="K24" s="13" t="s">
        <v>123</v>
      </c>
      <c r="L24" s="7"/>
    </row>
    <row r="25" spans="1:12" x14ac:dyDescent="0.3">
      <c r="A25" s="3" t="s">
        <v>124</v>
      </c>
      <c r="B25" s="3" t="s">
        <v>26</v>
      </c>
      <c r="C25" s="7">
        <v>531</v>
      </c>
      <c r="D25" s="7">
        <v>8</v>
      </c>
      <c r="E25" s="9" t="s">
        <v>69</v>
      </c>
      <c r="F25" s="10"/>
      <c r="G25" s="11"/>
      <c r="H25" s="7" t="s">
        <v>22</v>
      </c>
      <c r="I25" s="14" t="s">
        <v>15</v>
      </c>
      <c r="J25" s="3" t="s">
        <v>125</v>
      </c>
      <c r="K25" s="13" t="s">
        <v>126</v>
      </c>
      <c r="L25" s="7"/>
    </row>
    <row r="26" spans="1:12" x14ac:dyDescent="0.3">
      <c r="A26" s="3" t="s">
        <v>127</v>
      </c>
      <c r="B26" s="3" t="s">
        <v>26</v>
      </c>
      <c r="C26" s="7">
        <v>550</v>
      </c>
      <c r="D26" s="7">
        <v>8</v>
      </c>
      <c r="E26" s="9" t="s">
        <v>69</v>
      </c>
      <c r="F26" s="10"/>
      <c r="G26" s="11"/>
      <c r="H26" s="7" t="s">
        <v>22</v>
      </c>
      <c r="I26" s="14" t="s">
        <v>15</v>
      </c>
      <c r="J26" s="3"/>
      <c r="K26" s="13" t="s">
        <v>128</v>
      </c>
      <c r="L26" s="7"/>
    </row>
    <row r="27" spans="1:12" x14ac:dyDescent="0.3">
      <c r="A27" s="3" t="s">
        <v>129</v>
      </c>
      <c r="B27" s="3" t="s">
        <v>37</v>
      </c>
      <c r="C27" s="7">
        <v>533</v>
      </c>
      <c r="D27" s="7">
        <v>8</v>
      </c>
      <c r="E27" s="9" t="s">
        <v>69</v>
      </c>
      <c r="F27" s="10"/>
      <c r="G27" s="11"/>
      <c r="H27" s="7" t="s">
        <v>22</v>
      </c>
      <c r="I27" s="14" t="s">
        <v>15</v>
      </c>
      <c r="J27" s="3" t="s">
        <v>125</v>
      </c>
      <c r="K27" s="13" t="s">
        <v>130</v>
      </c>
      <c r="L27" s="5" t="s">
        <v>79</v>
      </c>
    </row>
    <row r="28" spans="1:12" x14ac:dyDescent="0.3">
      <c r="A28" s="3" t="s">
        <v>131</v>
      </c>
      <c r="B28" s="3" t="s">
        <v>34</v>
      </c>
      <c r="C28" s="7">
        <v>572</v>
      </c>
      <c r="D28" s="7">
        <v>8</v>
      </c>
      <c r="E28" s="9" t="s">
        <v>69</v>
      </c>
      <c r="F28" s="10"/>
      <c r="G28" s="11"/>
      <c r="H28" s="7" t="s">
        <v>22</v>
      </c>
      <c r="I28" s="14" t="s">
        <v>15</v>
      </c>
      <c r="J28" s="3"/>
      <c r="K28" s="13" t="s">
        <v>132</v>
      </c>
      <c r="L28" s="7"/>
    </row>
    <row r="29" spans="1:12" x14ac:dyDescent="0.3">
      <c r="A29" s="3" t="s">
        <v>133</v>
      </c>
      <c r="B29" s="3" t="s">
        <v>36</v>
      </c>
      <c r="C29" s="7">
        <v>549</v>
      </c>
      <c r="D29" s="7">
        <v>8</v>
      </c>
      <c r="E29" s="9" t="s">
        <v>69</v>
      </c>
      <c r="F29" s="10"/>
      <c r="G29" s="11"/>
      <c r="H29" s="7" t="s">
        <v>23</v>
      </c>
      <c r="I29" s="14" t="s">
        <v>15</v>
      </c>
      <c r="J29" s="3"/>
      <c r="K29" s="13" t="s">
        <v>134</v>
      </c>
      <c r="L29" s="7"/>
    </row>
    <row r="30" spans="1:12" x14ac:dyDescent="0.3">
      <c r="A30" s="3" t="s">
        <v>135</v>
      </c>
      <c r="B30" s="3" t="s">
        <v>30</v>
      </c>
      <c r="C30" s="7">
        <v>521</v>
      </c>
      <c r="D30" s="7">
        <v>8</v>
      </c>
      <c r="E30" s="9" t="s">
        <v>69</v>
      </c>
      <c r="F30" s="10"/>
      <c r="G30" s="11"/>
      <c r="H30" s="7" t="s">
        <v>23</v>
      </c>
      <c r="I30" s="14" t="s">
        <v>15</v>
      </c>
      <c r="J30" s="3"/>
      <c r="K30" s="13" t="s">
        <v>136</v>
      </c>
      <c r="L30" s="7"/>
    </row>
    <row r="31" spans="1:12" x14ac:dyDescent="0.3">
      <c r="A31" s="3" t="s">
        <v>137</v>
      </c>
      <c r="B31" s="3" t="s">
        <v>28</v>
      </c>
      <c r="C31" s="7">
        <v>548</v>
      </c>
      <c r="D31" s="7">
        <v>8</v>
      </c>
      <c r="E31" s="9" t="s">
        <v>69</v>
      </c>
      <c r="F31" s="10"/>
      <c r="G31" s="11"/>
      <c r="H31" s="7" t="s">
        <v>23</v>
      </c>
      <c r="I31" s="14" t="s">
        <v>15</v>
      </c>
      <c r="J31" s="3" t="s">
        <v>72</v>
      </c>
      <c r="K31" s="13" t="s">
        <v>138</v>
      </c>
      <c r="L31" s="7"/>
    </row>
    <row r="32" spans="1:12" x14ac:dyDescent="0.3">
      <c r="A32" s="3" t="s">
        <v>139</v>
      </c>
      <c r="B32" s="3" t="s">
        <v>32</v>
      </c>
      <c r="C32" s="7">
        <v>533</v>
      </c>
      <c r="D32" s="7">
        <v>8</v>
      </c>
      <c r="E32" s="9" t="s">
        <v>69</v>
      </c>
      <c r="F32" s="10"/>
      <c r="G32" s="11"/>
      <c r="H32" s="7" t="s">
        <v>23</v>
      </c>
      <c r="I32" s="14" t="s">
        <v>15</v>
      </c>
      <c r="J32" s="3" t="s">
        <v>72</v>
      </c>
      <c r="K32" s="13" t="s">
        <v>140</v>
      </c>
      <c r="L32" s="7"/>
    </row>
    <row r="33" spans="1:12" x14ac:dyDescent="0.3">
      <c r="A33" s="3" t="s">
        <v>141</v>
      </c>
      <c r="B33" s="3" t="s">
        <v>29</v>
      </c>
      <c r="C33" s="7">
        <v>516</v>
      </c>
      <c r="D33" s="7">
        <v>8</v>
      </c>
      <c r="E33" s="9" t="s">
        <v>69</v>
      </c>
      <c r="F33" s="10"/>
      <c r="G33" s="11"/>
      <c r="H33" s="7" t="s">
        <v>23</v>
      </c>
      <c r="I33" s="14" t="s">
        <v>15</v>
      </c>
      <c r="J33" s="3" t="s">
        <v>72</v>
      </c>
      <c r="K33" s="13" t="s">
        <v>142</v>
      </c>
      <c r="L33" s="7"/>
    </row>
    <row r="34" spans="1:12" x14ac:dyDescent="0.3">
      <c r="A34" s="3" t="s">
        <v>143</v>
      </c>
      <c r="B34" s="3" t="s">
        <v>29</v>
      </c>
      <c r="C34" s="7">
        <v>540</v>
      </c>
      <c r="D34" s="7">
        <v>8</v>
      </c>
      <c r="E34" s="9" t="s">
        <v>69</v>
      </c>
      <c r="F34" s="10"/>
      <c r="G34" s="11"/>
      <c r="H34" s="7" t="s">
        <v>23</v>
      </c>
      <c r="I34" s="14" t="s">
        <v>15</v>
      </c>
      <c r="J34" s="3" t="s">
        <v>72</v>
      </c>
      <c r="K34" s="13" t="s">
        <v>144</v>
      </c>
      <c r="L34" s="7"/>
    </row>
    <row r="35" spans="1:12" x14ac:dyDescent="0.3">
      <c r="A35" s="3" t="s">
        <v>145</v>
      </c>
      <c r="B35" s="3" t="s">
        <v>29</v>
      </c>
      <c r="C35" s="7">
        <v>545</v>
      </c>
      <c r="D35" s="7">
        <v>8</v>
      </c>
      <c r="E35" s="9" t="s">
        <v>69</v>
      </c>
      <c r="F35" s="10"/>
      <c r="G35" s="11"/>
      <c r="H35" s="7" t="s">
        <v>23</v>
      </c>
      <c r="I35" s="14" t="s">
        <v>15</v>
      </c>
      <c r="J35" s="3" t="s">
        <v>72</v>
      </c>
      <c r="K35" s="13" t="s">
        <v>146</v>
      </c>
      <c r="L35" s="7"/>
    </row>
    <row r="36" spans="1:12" x14ac:dyDescent="0.3">
      <c r="A36" s="3" t="s">
        <v>147</v>
      </c>
      <c r="B36" s="3" t="s">
        <v>26</v>
      </c>
      <c r="C36" s="7">
        <v>503</v>
      </c>
      <c r="D36" s="7">
        <v>8</v>
      </c>
      <c r="E36" s="9" t="s">
        <v>69</v>
      </c>
      <c r="F36" s="10"/>
      <c r="G36" s="11"/>
      <c r="H36" s="7" t="s">
        <v>23</v>
      </c>
      <c r="I36" s="14" t="s">
        <v>15</v>
      </c>
      <c r="J36" s="3" t="s">
        <v>112</v>
      </c>
      <c r="K36" s="13" t="s">
        <v>148</v>
      </c>
      <c r="L36" s="7"/>
    </row>
    <row r="37" spans="1:12" x14ac:dyDescent="0.3">
      <c r="A37" s="3" t="s">
        <v>149</v>
      </c>
      <c r="B37" s="3" t="s">
        <v>26</v>
      </c>
      <c r="C37" s="7">
        <v>551</v>
      </c>
      <c r="D37" s="7">
        <v>8</v>
      </c>
      <c r="E37" s="9" t="s">
        <v>69</v>
      </c>
      <c r="F37" s="10"/>
      <c r="G37" s="11"/>
      <c r="H37" s="7" t="s">
        <v>23</v>
      </c>
      <c r="I37" s="14" t="s">
        <v>15</v>
      </c>
      <c r="J37" s="3"/>
      <c r="K37" s="13" t="s">
        <v>150</v>
      </c>
      <c r="L37" s="7"/>
    </row>
    <row r="38" spans="1:12" x14ac:dyDescent="0.3">
      <c r="A38" s="3" t="s">
        <v>151</v>
      </c>
      <c r="B38" s="3" t="s">
        <v>26</v>
      </c>
      <c r="C38" s="7">
        <v>502</v>
      </c>
      <c r="D38" s="7">
        <v>8</v>
      </c>
      <c r="E38" s="9" t="s">
        <v>69</v>
      </c>
      <c r="F38" s="10"/>
      <c r="G38" s="11"/>
      <c r="H38" s="7" t="s">
        <v>23</v>
      </c>
      <c r="I38" s="14" t="s">
        <v>15</v>
      </c>
      <c r="J38" s="3"/>
      <c r="K38" s="13" t="s">
        <v>152</v>
      </c>
      <c r="L38" s="7"/>
    </row>
    <row r="39" spans="1:12" x14ac:dyDescent="0.3">
      <c r="A39" s="3" t="s">
        <v>153</v>
      </c>
      <c r="B39" s="3" t="s">
        <v>34</v>
      </c>
      <c r="C39" s="7">
        <v>550</v>
      </c>
      <c r="D39" s="7">
        <v>8</v>
      </c>
      <c r="E39" s="9" t="s">
        <v>69</v>
      </c>
      <c r="F39" s="10"/>
      <c r="G39" s="11"/>
      <c r="H39" s="7" t="s">
        <v>23</v>
      </c>
      <c r="I39" s="14" t="s">
        <v>15</v>
      </c>
      <c r="J39" s="3"/>
      <c r="K39" s="13" t="s">
        <v>154</v>
      </c>
      <c r="L39" s="7"/>
    </row>
    <row r="40" spans="1:12" x14ac:dyDescent="0.3">
      <c r="A40" s="3" t="s">
        <v>155</v>
      </c>
      <c r="B40" s="3" t="s">
        <v>35</v>
      </c>
      <c r="C40" s="7">
        <v>551</v>
      </c>
      <c r="D40" s="7">
        <v>8</v>
      </c>
      <c r="E40" s="9" t="s">
        <v>69</v>
      </c>
      <c r="F40" s="10"/>
      <c r="G40" s="11"/>
      <c r="H40" s="7" t="s">
        <v>23</v>
      </c>
      <c r="I40" s="14" t="s">
        <v>15</v>
      </c>
      <c r="J40" s="3"/>
      <c r="K40" s="13" t="s">
        <v>156</v>
      </c>
      <c r="L40" s="7"/>
    </row>
    <row r="41" spans="1:12" x14ac:dyDescent="0.3">
      <c r="A41" s="3" t="s">
        <v>157</v>
      </c>
      <c r="B41" s="3" t="s">
        <v>29</v>
      </c>
      <c r="C41" s="7">
        <v>535</v>
      </c>
      <c r="D41" s="7">
        <v>8</v>
      </c>
      <c r="E41" s="9" t="s">
        <v>69</v>
      </c>
      <c r="F41" s="10"/>
      <c r="G41" s="11"/>
      <c r="H41" s="7" t="s">
        <v>24</v>
      </c>
      <c r="I41" s="14" t="s">
        <v>15</v>
      </c>
      <c r="J41" s="3" t="s">
        <v>125</v>
      </c>
      <c r="K41" s="13" t="s">
        <v>158</v>
      </c>
      <c r="L41" s="5" t="s">
        <v>74</v>
      </c>
    </row>
    <row r="42" spans="1:12" x14ac:dyDescent="0.3">
      <c r="A42" s="3" t="s">
        <v>159</v>
      </c>
      <c r="B42" s="3" t="s">
        <v>26</v>
      </c>
      <c r="C42" s="7">
        <v>479</v>
      </c>
      <c r="D42" s="7">
        <v>8</v>
      </c>
      <c r="E42" s="9" t="s">
        <v>69</v>
      </c>
      <c r="F42" s="10"/>
      <c r="G42" s="11"/>
      <c r="H42" s="7" t="s">
        <v>24</v>
      </c>
      <c r="I42" s="14" t="s">
        <v>15</v>
      </c>
      <c r="J42" s="3" t="s">
        <v>112</v>
      </c>
      <c r="K42" s="13" t="s">
        <v>160</v>
      </c>
      <c r="L42" s="5" t="s">
        <v>85</v>
      </c>
    </row>
    <row r="43" spans="1:12" x14ac:dyDescent="0.3">
      <c r="A43" s="3" t="s">
        <v>161</v>
      </c>
      <c r="B43" s="3" t="s">
        <v>28</v>
      </c>
      <c r="C43" s="7">
        <v>560</v>
      </c>
      <c r="D43" s="7">
        <v>8</v>
      </c>
      <c r="E43" s="9" t="s">
        <v>69</v>
      </c>
      <c r="F43" s="10"/>
      <c r="G43" s="11"/>
      <c r="H43" s="7" t="s">
        <v>22</v>
      </c>
      <c r="I43" s="14" t="s">
        <v>15</v>
      </c>
      <c r="J43" s="3" t="s">
        <v>103</v>
      </c>
      <c r="K43" s="13" t="s">
        <v>162</v>
      </c>
      <c r="L43" s="7"/>
    </row>
    <row r="44" spans="1:12" x14ac:dyDescent="0.3">
      <c r="A44" s="3" t="s">
        <v>163</v>
      </c>
      <c r="B44" s="3" t="s">
        <v>32</v>
      </c>
      <c r="C44" s="7">
        <v>528</v>
      </c>
      <c r="D44" s="7">
        <v>8</v>
      </c>
      <c r="E44" s="9" t="s">
        <v>69</v>
      </c>
      <c r="F44" s="10"/>
      <c r="G44" s="11"/>
      <c r="H44" s="7" t="s">
        <v>22</v>
      </c>
      <c r="I44" s="14" t="s">
        <v>15</v>
      </c>
      <c r="J44" s="3" t="s">
        <v>103</v>
      </c>
      <c r="K44" s="13" t="s">
        <v>164</v>
      </c>
      <c r="L44" s="7"/>
    </row>
    <row r="45" spans="1:12" x14ac:dyDescent="0.3">
      <c r="A45" s="3" t="s">
        <v>165</v>
      </c>
      <c r="B45" s="3" t="s">
        <v>27</v>
      </c>
      <c r="C45" s="7">
        <v>558</v>
      </c>
      <c r="D45" s="7">
        <v>8</v>
      </c>
      <c r="E45" s="9" t="s">
        <v>69</v>
      </c>
      <c r="F45" s="10"/>
      <c r="G45" s="11"/>
      <c r="H45" s="7" t="s">
        <v>22</v>
      </c>
      <c r="I45" s="14" t="s">
        <v>15</v>
      </c>
      <c r="J45" s="3" t="s">
        <v>103</v>
      </c>
      <c r="K45" s="13" t="s">
        <v>166</v>
      </c>
      <c r="L45" s="7"/>
    </row>
    <row r="46" spans="1:12" x14ac:dyDescent="0.3">
      <c r="A46" s="3" t="s">
        <v>167</v>
      </c>
      <c r="B46" s="3" t="s">
        <v>27</v>
      </c>
      <c r="C46" s="7">
        <v>567</v>
      </c>
      <c r="D46" s="7">
        <v>8</v>
      </c>
      <c r="E46" s="9" t="s">
        <v>69</v>
      </c>
      <c r="F46" s="10"/>
      <c r="G46" s="11"/>
      <c r="H46" s="7" t="s">
        <v>22</v>
      </c>
      <c r="I46" s="14" t="s">
        <v>15</v>
      </c>
      <c r="J46" s="3" t="s">
        <v>103</v>
      </c>
      <c r="K46" s="13" t="s">
        <v>168</v>
      </c>
      <c r="L46" s="7"/>
    </row>
    <row r="47" spans="1:12" x14ac:dyDescent="0.3">
      <c r="A47" s="3" t="s">
        <v>169</v>
      </c>
      <c r="B47" s="3" t="s">
        <v>36</v>
      </c>
      <c r="C47" s="7">
        <v>552</v>
      </c>
      <c r="D47" s="7">
        <v>8</v>
      </c>
      <c r="E47" s="9" t="s">
        <v>69</v>
      </c>
      <c r="F47" s="10"/>
      <c r="G47" s="11"/>
      <c r="H47" s="7" t="s">
        <v>23</v>
      </c>
      <c r="I47" s="14" t="s">
        <v>15</v>
      </c>
      <c r="J47" s="3" t="s">
        <v>103</v>
      </c>
      <c r="K47" s="13" t="s">
        <v>170</v>
      </c>
      <c r="L47" s="7"/>
    </row>
    <row r="48" spans="1:12" x14ac:dyDescent="0.3">
      <c r="A48" s="3" t="s">
        <v>171</v>
      </c>
      <c r="B48" s="3" t="s">
        <v>31</v>
      </c>
      <c r="C48" s="7">
        <v>561</v>
      </c>
      <c r="D48" s="7">
        <v>8</v>
      </c>
      <c r="E48" s="9" t="s">
        <v>69</v>
      </c>
      <c r="F48" s="10"/>
      <c r="G48" s="11"/>
      <c r="H48" s="7" t="s">
        <v>23</v>
      </c>
      <c r="I48" s="14" t="s">
        <v>15</v>
      </c>
      <c r="J48" s="3" t="s">
        <v>103</v>
      </c>
      <c r="K48" s="13" t="s">
        <v>172</v>
      </c>
      <c r="L48" s="7"/>
    </row>
    <row r="49" spans="1:12" x14ac:dyDescent="0.3">
      <c r="A49" s="3" t="s">
        <v>173</v>
      </c>
      <c r="B49" s="3" t="s">
        <v>30</v>
      </c>
      <c r="C49" s="7">
        <v>552</v>
      </c>
      <c r="D49" s="7">
        <v>8</v>
      </c>
      <c r="E49" s="9" t="s">
        <v>69</v>
      </c>
      <c r="F49" s="10"/>
      <c r="G49" s="11"/>
      <c r="H49" s="7" t="s">
        <v>23</v>
      </c>
      <c r="I49" s="14" t="s">
        <v>15</v>
      </c>
      <c r="J49" s="3" t="s">
        <v>103</v>
      </c>
      <c r="K49" s="13" t="s">
        <v>174</v>
      </c>
      <c r="L49" s="7"/>
    </row>
    <row r="50" spans="1:12" x14ac:dyDescent="0.3">
      <c r="A50" s="3" t="s">
        <v>175</v>
      </c>
      <c r="B50" s="3" t="s">
        <v>28</v>
      </c>
      <c r="C50" s="7">
        <v>566</v>
      </c>
      <c r="D50" s="7">
        <v>8</v>
      </c>
      <c r="E50" s="9" t="s">
        <v>69</v>
      </c>
      <c r="F50" s="10"/>
      <c r="G50" s="11"/>
      <c r="H50" s="7" t="s">
        <v>23</v>
      </c>
      <c r="I50" s="14" t="s">
        <v>15</v>
      </c>
      <c r="J50" s="3" t="s">
        <v>103</v>
      </c>
      <c r="K50" s="13" t="s">
        <v>176</v>
      </c>
      <c r="L50" s="7"/>
    </row>
    <row r="51" spans="1:12" x14ac:dyDescent="0.3">
      <c r="A51" s="3" t="s">
        <v>177</v>
      </c>
      <c r="B51" s="3" t="s">
        <v>38</v>
      </c>
      <c r="C51" s="7">
        <v>523</v>
      </c>
      <c r="D51" s="7">
        <v>8</v>
      </c>
      <c r="E51" s="9" t="s">
        <v>69</v>
      </c>
      <c r="F51" s="10"/>
      <c r="G51" s="11"/>
      <c r="H51" s="7" t="s">
        <v>23</v>
      </c>
      <c r="I51" s="14" t="s">
        <v>15</v>
      </c>
      <c r="J51" s="3" t="s">
        <v>103</v>
      </c>
      <c r="K51" s="13" t="s">
        <v>178</v>
      </c>
      <c r="L51" s="7"/>
    </row>
    <row r="52" spans="1:12" x14ac:dyDescent="0.3">
      <c r="A52" s="3" t="s">
        <v>179</v>
      </c>
      <c r="B52" s="3" t="s">
        <v>38</v>
      </c>
      <c r="C52" s="7">
        <v>548</v>
      </c>
      <c r="D52" s="7">
        <v>8</v>
      </c>
      <c r="E52" s="9" t="s">
        <v>69</v>
      </c>
      <c r="F52" s="10"/>
      <c r="G52" s="11"/>
      <c r="H52" s="7" t="s">
        <v>23</v>
      </c>
      <c r="I52" s="14" t="s">
        <v>15</v>
      </c>
      <c r="J52" s="3" t="s">
        <v>103</v>
      </c>
      <c r="K52" s="13" t="s">
        <v>180</v>
      </c>
      <c r="L52" s="7"/>
    </row>
    <row r="53" spans="1:12" x14ac:dyDescent="0.3">
      <c r="A53" s="3" t="s">
        <v>181</v>
      </c>
      <c r="B53" s="3" t="s">
        <v>27</v>
      </c>
      <c r="C53" s="7">
        <v>567</v>
      </c>
      <c r="D53" s="7">
        <v>8</v>
      </c>
      <c r="E53" s="9" t="s">
        <v>69</v>
      </c>
      <c r="F53" s="10"/>
      <c r="G53" s="11"/>
      <c r="H53" s="7" t="s">
        <v>23</v>
      </c>
      <c r="I53" s="14" t="s">
        <v>15</v>
      </c>
      <c r="J53" s="3" t="s">
        <v>103</v>
      </c>
      <c r="K53" s="13" t="s">
        <v>182</v>
      </c>
      <c r="L53" s="7"/>
    </row>
    <row r="54" spans="1:12" x14ac:dyDescent="0.3">
      <c r="A54" s="3" t="s">
        <v>183</v>
      </c>
      <c r="B54" s="3" t="s">
        <v>33</v>
      </c>
      <c r="C54" s="7">
        <v>452</v>
      </c>
      <c r="D54" s="7">
        <v>8</v>
      </c>
      <c r="E54" s="9" t="s">
        <v>69</v>
      </c>
      <c r="F54" s="10"/>
      <c r="G54" s="11"/>
      <c r="H54" s="7" t="s">
        <v>23</v>
      </c>
      <c r="I54" s="14" t="s">
        <v>15</v>
      </c>
      <c r="J54" s="3" t="s">
        <v>103</v>
      </c>
      <c r="K54" s="13" t="s">
        <v>184</v>
      </c>
      <c r="L54" s="7"/>
    </row>
    <row r="55" spans="1:12" x14ac:dyDescent="0.3">
      <c r="A55" s="3" t="s">
        <v>185</v>
      </c>
      <c r="B55" s="3" t="s">
        <v>26</v>
      </c>
      <c r="C55" s="7">
        <v>545</v>
      </c>
      <c r="D55" s="7">
        <v>8</v>
      </c>
      <c r="E55" s="9" t="s">
        <v>69</v>
      </c>
      <c r="F55" s="10"/>
      <c r="G55" s="11"/>
      <c r="H55" s="7" t="s">
        <v>23</v>
      </c>
      <c r="I55" s="14" t="s">
        <v>15</v>
      </c>
      <c r="J55" s="3" t="s">
        <v>103</v>
      </c>
      <c r="K55" s="13" t="s">
        <v>186</v>
      </c>
      <c r="L55" s="7"/>
    </row>
    <row r="56" spans="1:12" x14ac:dyDescent="0.3">
      <c r="A56" s="3" t="s">
        <v>187</v>
      </c>
      <c r="B56" s="3" t="s">
        <v>28</v>
      </c>
      <c r="C56" s="7">
        <v>557</v>
      </c>
      <c r="D56" s="7">
        <v>8</v>
      </c>
      <c r="E56" s="9" t="s">
        <v>69</v>
      </c>
      <c r="F56" s="10"/>
      <c r="G56" s="11"/>
      <c r="H56" s="7" t="s">
        <v>24</v>
      </c>
      <c r="I56" s="14" t="s">
        <v>15</v>
      </c>
      <c r="J56" s="3" t="s">
        <v>103</v>
      </c>
      <c r="K56" s="13" t="s">
        <v>188</v>
      </c>
      <c r="L56" s="5" t="s">
        <v>79</v>
      </c>
    </row>
    <row r="57" spans="1:12" x14ac:dyDescent="0.3">
      <c r="A57" s="3" t="s">
        <v>189</v>
      </c>
      <c r="B57" s="3" t="s">
        <v>27</v>
      </c>
      <c r="C57" s="7">
        <v>551</v>
      </c>
      <c r="D57" s="7">
        <v>8</v>
      </c>
      <c r="E57" s="9" t="s">
        <v>69</v>
      </c>
      <c r="F57" s="10"/>
      <c r="G57" s="11"/>
      <c r="H57" s="7" t="s">
        <v>24</v>
      </c>
      <c r="I57" s="14" t="s">
        <v>15</v>
      </c>
      <c r="J57" s="3" t="s">
        <v>103</v>
      </c>
      <c r="K57" s="13" t="s">
        <v>190</v>
      </c>
      <c r="L57" s="5" t="s">
        <v>82</v>
      </c>
    </row>
    <row r="58" spans="1:12" x14ac:dyDescent="0.3">
      <c r="A58" s="3" t="s">
        <v>191</v>
      </c>
      <c r="B58" s="3" t="s">
        <v>27</v>
      </c>
      <c r="C58" s="7">
        <v>556</v>
      </c>
      <c r="D58" s="7">
        <v>8</v>
      </c>
      <c r="E58" s="9" t="s">
        <v>69</v>
      </c>
      <c r="F58" s="10"/>
      <c r="G58" s="11"/>
      <c r="H58" s="7" t="s">
        <v>24</v>
      </c>
      <c r="I58" s="14" t="s">
        <v>15</v>
      </c>
      <c r="J58" s="3" t="s">
        <v>103</v>
      </c>
      <c r="K58" s="13" t="s">
        <v>192</v>
      </c>
      <c r="L58" s="7"/>
    </row>
    <row r="59" spans="1:12" x14ac:dyDescent="0.3">
      <c r="A59" s="3" t="s">
        <v>193</v>
      </c>
      <c r="B59" s="3" t="s">
        <v>33</v>
      </c>
      <c r="C59" s="7">
        <v>401</v>
      </c>
      <c r="D59" s="7">
        <v>8</v>
      </c>
      <c r="E59" s="9" t="s">
        <v>69</v>
      </c>
      <c r="F59" s="10"/>
      <c r="G59" s="11"/>
      <c r="H59" s="7" t="s">
        <v>24</v>
      </c>
      <c r="I59" s="14" t="s">
        <v>15</v>
      </c>
      <c r="J59" s="3" t="s">
        <v>103</v>
      </c>
      <c r="K59" s="13" t="s">
        <v>194</v>
      </c>
      <c r="L59" s="5" t="s">
        <v>82</v>
      </c>
    </row>
    <row r="60" spans="1:12" x14ac:dyDescent="0.3">
      <c r="A60" s="3" t="s">
        <v>195</v>
      </c>
      <c r="B60" s="3" t="s">
        <v>33</v>
      </c>
      <c r="C60" s="7">
        <v>557</v>
      </c>
      <c r="D60" s="7">
        <v>8</v>
      </c>
      <c r="E60" s="9" t="s">
        <v>69</v>
      </c>
      <c r="F60" s="10"/>
      <c r="G60" s="11"/>
      <c r="H60" s="7" t="s">
        <v>24</v>
      </c>
      <c r="I60" s="14" t="s">
        <v>15</v>
      </c>
      <c r="J60" s="3" t="s">
        <v>103</v>
      </c>
      <c r="K60" s="13" t="s">
        <v>196</v>
      </c>
      <c r="L60" s="7"/>
    </row>
    <row r="61" spans="1:12" x14ac:dyDescent="0.3">
      <c r="A61" s="3" t="s">
        <v>197</v>
      </c>
      <c r="B61" s="3" t="s">
        <v>26</v>
      </c>
      <c r="C61" s="7">
        <v>544</v>
      </c>
      <c r="D61" s="7">
        <v>8</v>
      </c>
      <c r="E61" s="9" t="s">
        <v>69</v>
      </c>
      <c r="F61" s="10"/>
      <c r="G61" s="11"/>
      <c r="H61" s="7" t="s">
        <v>24</v>
      </c>
      <c r="I61" s="14" t="s">
        <v>15</v>
      </c>
      <c r="J61" s="3" t="s">
        <v>103</v>
      </c>
      <c r="K61" s="13" t="s">
        <v>198</v>
      </c>
      <c r="L61" s="5" t="s">
        <v>74</v>
      </c>
    </row>
    <row r="62" spans="1:12" x14ac:dyDescent="0.3">
      <c r="A62" s="3" t="s">
        <v>199</v>
      </c>
      <c r="B62" s="3" t="s">
        <v>26</v>
      </c>
      <c r="C62" s="7">
        <v>474</v>
      </c>
      <c r="D62" s="7">
        <v>8</v>
      </c>
      <c r="E62" s="9" t="s">
        <v>69</v>
      </c>
      <c r="F62" s="10"/>
      <c r="G62" s="11"/>
      <c r="H62" s="7" t="s">
        <v>24</v>
      </c>
      <c r="I62" s="14" t="s">
        <v>15</v>
      </c>
      <c r="J62" s="3" t="s">
        <v>103</v>
      </c>
      <c r="K62" s="13" t="s">
        <v>200</v>
      </c>
      <c r="L62" s="7"/>
    </row>
    <row r="63" spans="1:12" x14ac:dyDescent="0.3">
      <c r="A63" s="3" t="s">
        <v>201</v>
      </c>
      <c r="B63" s="3" t="s">
        <v>34</v>
      </c>
      <c r="C63" s="7">
        <v>550</v>
      </c>
      <c r="D63" s="7">
        <v>8</v>
      </c>
      <c r="E63" s="9" t="s">
        <v>69</v>
      </c>
      <c r="F63" s="10"/>
      <c r="G63" s="11"/>
      <c r="H63" s="7" t="s">
        <v>24</v>
      </c>
      <c r="I63" s="14" t="s">
        <v>15</v>
      </c>
      <c r="J63" s="3" t="s">
        <v>103</v>
      </c>
      <c r="K63" s="13" t="s">
        <v>202</v>
      </c>
      <c r="L63" s="5" t="s">
        <v>79</v>
      </c>
    </row>
    <row r="64" spans="1:12" x14ac:dyDescent="0.3">
      <c r="A64" s="3" t="s">
        <v>203</v>
      </c>
      <c r="B64" s="3" t="s">
        <v>35</v>
      </c>
      <c r="C64" s="7">
        <v>553</v>
      </c>
      <c r="D64" s="7">
        <v>8</v>
      </c>
      <c r="E64" s="9" t="s">
        <v>69</v>
      </c>
      <c r="F64" s="10"/>
      <c r="G64" s="11"/>
      <c r="H64" s="7" t="s">
        <v>24</v>
      </c>
      <c r="I64" s="14" t="s">
        <v>15</v>
      </c>
      <c r="J64" s="3" t="s">
        <v>103</v>
      </c>
      <c r="K64" s="13" t="s">
        <v>204</v>
      </c>
      <c r="L64" s="7"/>
    </row>
    <row r="65" spans="1:12" x14ac:dyDescent="0.3">
      <c r="A65" s="3" t="s">
        <v>205</v>
      </c>
      <c r="B65" s="3" t="s">
        <v>36</v>
      </c>
      <c r="C65" s="7">
        <v>548</v>
      </c>
      <c r="D65" s="7">
        <v>8</v>
      </c>
      <c r="E65" s="9" t="s">
        <v>69</v>
      </c>
      <c r="F65" s="10"/>
      <c r="G65" s="11"/>
      <c r="H65" s="7" t="s">
        <v>22</v>
      </c>
      <c r="I65" s="15" t="s">
        <v>16</v>
      </c>
      <c r="J65" s="3" t="s">
        <v>206</v>
      </c>
      <c r="K65" s="13" t="s">
        <v>207</v>
      </c>
      <c r="L65" s="7"/>
    </row>
    <row r="66" spans="1:12" x14ac:dyDescent="0.3">
      <c r="A66" s="3" t="s">
        <v>208</v>
      </c>
      <c r="B66" s="3" t="s">
        <v>27</v>
      </c>
      <c r="C66" s="7">
        <v>519</v>
      </c>
      <c r="D66" s="7">
        <v>8</v>
      </c>
      <c r="E66" s="9" t="s">
        <v>69</v>
      </c>
      <c r="F66" s="10"/>
      <c r="G66" s="11"/>
      <c r="H66" s="7" t="s">
        <v>22</v>
      </c>
      <c r="I66" s="15" t="s">
        <v>16</v>
      </c>
      <c r="J66" s="3" t="s">
        <v>209</v>
      </c>
      <c r="K66" s="13" t="s">
        <v>210</v>
      </c>
      <c r="L66" s="7"/>
    </row>
    <row r="67" spans="1:12" x14ac:dyDescent="0.3">
      <c r="A67" s="3" t="s">
        <v>211</v>
      </c>
      <c r="B67" s="3" t="s">
        <v>27</v>
      </c>
      <c r="C67" s="7">
        <v>539</v>
      </c>
      <c r="D67" s="7">
        <v>8</v>
      </c>
      <c r="E67" s="9" t="s">
        <v>69</v>
      </c>
      <c r="F67" s="10"/>
      <c r="G67" s="11"/>
      <c r="H67" s="7" t="s">
        <v>23</v>
      </c>
      <c r="I67" s="15" t="s">
        <v>16</v>
      </c>
      <c r="J67" s="3" t="s">
        <v>209</v>
      </c>
      <c r="K67" s="13" t="s">
        <v>212</v>
      </c>
      <c r="L67" s="7"/>
    </row>
    <row r="68" spans="1:12" x14ac:dyDescent="0.3">
      <c r="A68" s="3" t="s">
        <v>213</v>
      </c>
      <c r="B68" s="3" t="s">
        <v>27</v>
      </c>
      <c r="C68" s="7">
        <v>570</v>
      </c>
      <c r="D68" s="7">
        <v>8</v>
      </c>
      <c r="E68" s="9" t="s">
        <v>69</v>
      </c>
      <c r="F68" s="10"/>
      <c r="G68" s="11"/>
      <c r="H68" s="7" t="s">
        <v>24</v>
      </c>
      <c r="I68" s="15" t="s">
        <v>16</v>
      </c>
      <c r="J68" s="3" t="s">
        <v>209</v>
      </c>
      <c r="K68" s="13" t="s">
        <v>214</v>
      </c>
      <c r="L68" s="7"/>
    </row>
    <row r="69" spans="1:12" x14ac:dyDescent="0.3">
      <c r="A69" s="3" t="s">
        <v>215</v>
      </c>
      <c r="B69" s="3" t="s">
        <v>29</v>
      </c>
      <c r="C69" s="7">
        <v>553</v>
      </c>
      <c r="D69" s="7">
        <v>8</v>
      </c>
      <c r="E69" s="9" t="s">
        <v>69</v>
      </c>
      <c r="F69" s="10"/>
      <c r="G69" s="11"/>
      <c r="H69" s="7" t="s">
        <v>24</v>
      </c>
      <c r="I69" s="15" t="s">
        <v>16</v>
      </c>
      <c r="J69" s="3" t="s">
        <v>206</v>
      </c>
      <c r="K69" s="13" t="s">
        <v>216</v>
      </c>
      <c r="L69" s="7"/>
    </row>
    <row r="70" spans="1:12" x14ac:dyDescent="0.3">
      <c r="A70" s="3" t="s">
        <v>217</v>
      </c>
      <c r="B70" s="3" t="s">
        <v>26</v>
      </c>
      <c r="C70" s="7">
        <v>540</v>
      </c>
      <c r="D70" s="7">
        <v>8</v>
      </c>
      <c r="E70" s="9" t="s">
        <v>69</v>
      </c>
      <c r="F70" s="10"/>
      <c r="G70" s="11"/>
      <c r="H70" s="7" t="s">
        <v>24</v>
      </c>
      <c r="I70" s="15" t="s">
        <v>16</v>
      </c>
      <c r="J70" s="3" t="s">
        <v>218</v>
      </c>
      <c r="K70" s="13" t="s">
        <v>219</v>
      </c>
      <c r="L70" s="7"/>
    </row>
    <row r="71" spans="1:12" x14ac:dyDescent="0.3">
      <c r="A71" s="3" t="s">
        <v>220</v>
      </c>
      <c r="B71" s="3" t="s">
        <v>26</v>
      </c>
      <c r="C71" s="7">
        <v>543</v>
      </c>
      <c r="D71" s="7">
        <v>8</v>
      </c>
      <c r="E71" s="9" t="s">
        <v>69</v>
      </c>
      <c r="F71" s="10"/>
      <c r="G71" s="11"/>
      <c r="H71" s="7" t="s">
        <v>24</v>
      </c>
      <c r="I71" s="15" t="s">
        <v>16</v>
      </c>
      <c r="J71" s="3" t="s">
        <v>209</v>
      </c>
      <c r="K71" s="13" t="s">
        <v>221</v>
      </c>
      <c r="L71" s="7"/>
    </row>
    <row r="72" spans="1:12" x14ac:dyDescent="0.3">
      <c r="A72" s="3" t="s">
        <v>222</v>
      </c>
      <c r="B72" s="3" t="s">
        <v>37</v>
      </c>
      <c r="C72" s="7">
        <v>544</v>
      </c>
      <c r="D72" s="7">
        <v>8</v>
      </c>
      <c r="E72" s="9" t="s">
        <v>69</v>
      </c>
      <c r="F72" s="10"/>
      <c r="G72" s="11"/>
      <c r="H72" s="7" t="s">
        <v>23</v>
      </c>
      <c r="I72" s="15" t="s">
        <v>16</v>
      </c>
      <c r="J72" s="3" t="s">
        <v>223</v>
      </c>
      <c r="K72" s="13" t="s">
        <v>224</v>
      </c>
      <c r="L72" s="7"/>
    </row>
    <row r="73" spans="1:12" x14ac:dyDescent="0.3">
      <c r="A73" s="3" t="s">
        <v>225</v>
      </c>
      <c r="B73" s="3" t="s">
        <v>30</v>
      </c>
      <c r="C73" s="7">
        <v>566</v>
      </c>
      <c r="D73" s="7">
        <v>8</v>
      </c>
      <c r="E73" s="9" t="s">
        <v>69</v>
      </c>
      <c r="F73" s="10"/>
      <c r="G73" s="11"/>
      <c r="H73" s="7" t="s">
        <v>24</v>
      </c>
      <c r="I73" s="15" t="s">
        <v>16</v>
      </c>
      <c r="J73" s="3" t="s">
        <v>223</v>
      </c>
      <c r="K73" s="13" t="s">
        <v>226</v>
      </c>
      <c r="L73" s="7"/>
    </row>
    <row r="74" spans="1:12" x14ac:dyDescent="0.3">
      <c r="A74" s="3" t="s">
        <v>227</v>
      </c>
      <c r="B74" s="3" t="s">
        <v>34</v>
      </c>
      <c r="C74" s="7">
        <v>384</v>
      </c>
      <c r="D74" s="7">
        <v>6</v>
      </c>
      <c r="E74" s="9" t="s">
        <v>69</v>
      </c>
      <c r="F74" s="10"/>
      <c r="G74" s="11"/>
      <c r="H74" s="7" t="s">
        <v>24</v>
      </c>
      <c r="I74" s="16" t="s">
        <v>17</v>
      </c>
      <c r="J74" s="3" t="s">
        <v>228</v>
      </c>
      <c r="K74" s="13" t="s">
        <v>229</v>
      </c>
      <c r="L74" s="7"/>
    </row>
    <row r="75" spans="1:12" x14ac:dyDescent="0.3">
      <c r="A75" s="3" t="s">
        <v>230</v>
      </c>
      <c r="B75" s="3" t="s">
        <v>32</v>
      </c>
      <c r="C75" s="7">
        <v>589</v>
      </c>
      <c r="D75" s="7">
        <v>6</v>
      </c>
      <c r="E75" s="9" t="s">
        <v>69</v>
      </c>
      <c r="F75" s="10"/>
      <c r="G75" s="11"/>
      <c r="H75" s="7" t="s">
        <v>22</v>
      </c>
      <c r="I75" s="15" t="s">
        <v>18</v>
      </c>
      <c r="J75" s="3" t="s">
        <v>231</v>
      </c>
      <c r="K75" s="13" t="s">
        <v>232</v>
      </c>
      <c r="L75" s="7"/>
    </row>
    <row r="76" spans="1:12" x14ac:dyDescent="0.3">
      <c r="A76" s="3" t="s">
        <v>233</v>
      </c>
      <c r="B76" s="3" t="s">
        <v>35</v>
      </c>
      <c r="C76" s="7">
        <v>580</v>
      </c>
      <c r="D76" s="7">
        <v>6</v>
      </c>
      <c r="E76" s="9" t="s">
        <v>69</v>
      </c>
      <c r="F76" s="10"/>
      <c r="G76" s="11"/>
      <c r="H76" s="7" t="s">
        <v>22</v>
      </c>
      <c r="I76" s="15" t="s">
        <v>18</v>
      </c>
      <c r="J76" s="3" t="s">
        <v>234</v>
      </c>
      <c r="K76" s="13" t="s">
        <v>235</v>
      </c>
      <c r="L76" s="7"/>
    </row>
    <row r="77" spans="1:12" x14ac:dyDescent="0.3">
      <c r="A77" s="3" t="s">
        <v>236</v>
      </c>
      <c r="B77" s="3" t="s">
        <v>36</v>
      </c>
      <c r="C77" s="7">
        <v>485</v>
      </c>
      <c r="D77" s="7">
        <v>6</v>
      </c>
      <c r="E77" s="9" t="s">
        <v>69</v>
      </c>
      <c r="F77" s="10"/>
      <c r="G77" s="11"/>
      <c r="H77" s="7" t="s">
        <v>23</v>
      </c>
      <c r="I77" s="15" t="s">
        <v>18</v>
      </c>
      <c r="J77" s="3" t="s">
        <v>237</v>
      </c>
      <c r="K77" s="13" t="s">
        <v>238</v>
      </c>
      <c r="L77" s="7"/>
    </row>
    <row r="78" spans="1:12" x14ac:dyDescent="0.3">
      <c r="A78" s="3" t="s">
        <v>239</v>
      </c>
      <c r="B78" s="3" t="s">
        <v>29</v>
      </c>
      <c r="C78" s="7">
        <v>515</v>
      </c>
      <c r="D78" s="7">
        <v>6</v>
      </c>
      <c r="E78" s="9" t="s">
        <v>69</v>
      </c>
      <c r="F78" s="10"/>
      <c r="G78" s="11"/>
      <c r="H78" s="7" t="s">
        <v>23</v>
      </c>
      <c r="I78" s="15" t="s">
        <v>18</v>
      </c>
      <c r="J78" s="3" t="s">
        <v>231</v>
      </c>
      <c r="K78" s="13" t="s">
        <v>240</v>
      </c>
      <c r="L78" s="7"/>
    </row>
  </sheetData>
  <autoFilter ref="A1:L78" xr:uid="{00000000-0009-0000-0000-000001000000}"/>
  <conditionalFormatting sqref="E2:E500">
    <cfRule type="expression" dxfId="0" priority="1">
      <formula>UPPER($E2)="Y"</formula>
    </cfRule>
  </conditionalFormatting>
  <dataValidations count="1">
    <dataValidation type="list" allowBlank="1" showErrorMessage="1" errorTitle="Sample Sent" error="Enter Y or N." sqref="E2:E500" xr:uid="{00000000-0002-0000-0100-000000000000}">
      <formula1>"Y,N"</formula1>
    </dataValidation>
  </dataValidations>
  <hyperlinks>
    <hyperlink ref="K2" r:id="rId1" xr:uid="{00000000-0004-0000-0100-000000000000}"/>
    <hyperlink ref="K3" r:id="rId2" xr:uid="{00000000-0004-0000-0100-000001000000}"/>
    <hyperlink ref="K4" r:id="rId3" xr:uid="{00000000-0004-0000-0100-000002000000}"/>
    <hyperlink ref="K5" r:id="rId4" xr:uid="{00000000-0004-0000-0100-000003000000}"/>
    <hyperlink ref="K6" r:id="rId5" xr:uid="{00000000-0004-0000-0100-000004000000}"/>
    <hyperlink ref="K7" r:id="rId6" xr:uid="{00000000-0004-0000-0100-000005000000}"/>
    <hyperlink ref="K8" r:id="rId7" xr:uid="{00000000-0004-0000-0100-000006000000}"/>
    <hyperlink ref="K9" r:id="rId8" xr:uid="{00000000-0004-0000-0100-000007000000}"/>
    <hyperlink ref="K10" r:id="rId9" xr:uid="{00000000-0004-0000-0100-000008000000}"/>
    <hyperlink ref="K11" r:id="rId10" xr:uid="{00000000-0004-0000-0100-000009000000}"/>
    <hyperlink ref="K12" r:id="rId11" xr:uid="{00000000-0004-0000-0100-00000A000000}"/>
    <hyperlink ref="K13" r:id="rId12" xr:uid="{00000000-0004-0000-0100-00000B000000}"/>
    <hyperlink ref="K14" r:id="rId13" xr:uid="{00000000-0004-0000-0100-00000C000000}"/>
    <hyperlink ref="K15" r:id="rId14" xr:uid="{00000000-0004-0000-0100-00000D000000}"/>
    <hyperlink ref="K16" r:id="rId15" xr:uid="{00000000-0004-0000-0100-00000E000000}"/>
    <hyperlink ref="K17" r:id="rId16" xr:uid="{00000000-0004-0000-0100-00000F000000}"/>
    <hyperlink ref="K18" r:id="rId17" xr:uid="{00000000-0004-0000-0100-000010000000}"/>
    <hyperlink ref="K19" r:id="rId18" xr:uid="{00000000-0004-0000-0100-000011000000}"/>
    <hyperlink ref="K20" r:id="rId19" xr:uid="{00000000-0004-0000-0100-000012000000}"/>
    <hyperlink ref="K21" r:id="rId20" xr:uid="{00000000-0004-0000-0100-000013000000}"/>
    <hyperlink ref="K22" r:id="rId21" xr:uid="{00000000-0004-0000-0100-000014000000}"/>
    <hyperlink ref="K23" r:id="rId22" xr:uid="{00000000-0004-0000-0100-000015000000}"/>
    <hyperlink ref="K24" r:id="rId23" xr:uid="{00000000-0004-0000-0100-000016000000}"/>
    <hyperlink ref="K25" r:id="rId24" xr:uid="{00000000-0004-0000-0100-000017000000}"/>
    <hyperlink ref="K26" r:id="rId25" xr:uid="{00000000-0004-0000-0100-000018000000}"/>
    <hyperlink ref="K27" r:id="rId26" xr:uid="{00000000-0004-0000-0100-000019000000}"/>
    <hyperlink ref="K28" r:id="rId27" xr:uid="{00000000-0004-0000-0100-00001A000000}"/>
    <hyperlink ref="K29" r:id="rId28" xr:uid="{00000000-0004-0000-0100-00001B000000}"/>
    <hyperlink ref="K30" r:id="rId29" xr:uid="{00000000-0004-0000-0100-00001C000000}"/>
    <hyperlink ref="K31" r:id="rId30" xr:uid="{00000000-0004-0000-0100-00001D000000}"/>
    <hyperlink ref="K32" r:id="rId31" xr:uid="{00000000-0004-0000-0100-00001E000000}"/>
    <hyperlink ref="K33" r:id="rId32" xr:uid="{00000000-0004-0000-0100-00001F000000}"/>
    <hyperlink ref="K34" r:id="rId33" xr:uid="{00000000-0004-0000-0100-000020000000}"/>
    <hyperlink ref="K35" r:id="rId34" xr:uid="{00000000-0004-0000-0100-000021000000}"/>
    <hyperlink ref="K36" r:id="rId35" xr:uid="{00000000-0004-0000-0100-000022000000}"/>
    <hyperlink ref="K37" r:id="rId36" xr:uid="{00000000-0004-0000-0100-000023000000}"/>
    <hyperlink ref="K38" r:id="rId37" xr:uid="{00000000-0004-0000-0100-000024000000}"/>
    <hyperlink ref="K39" r:id="rId38" xr:uid="{00000000-0004-0000-0100-000025000000}"/>
    <hyperlink ref="K40" r:id="rId39" xr:uid="{00000000-0004-0000-0100-000026000000}"/>
    <hyperlink ref="K41" r:id="rId40" xr:uid="{00000000-0004-0000-0100-000027000000}"/>
    <hyperlink ref="K42" r:id="rId41" xr:uid="{00000000-0004-0000-0100-000028000000}"/>
    <hyperlink ref="K43" r:id="rId42" xr:uid="{00000000-0004-0000-0100-000029000000}"/>
    <hyperlink ref="K44" r:id="rId43" xr:uid="{00000000-0004-0000-0100-00002A000000}"/>
    <hyperlink ref="K45" r:id="rId44" xr:uid="{00000000-0004-0000-0100-00002B000000}"/>
    <hyperlink ref="K46" r:id="rId45" xr:uid="{00000000-0004-0000-0100-00002C000000}"/>
    <hyperlink ref="K47" r:id="rId46" xr:uid="{00000000-0004-0000-0100-00002D000000}"/>
    <hyperlink ref="K48" r:id="rId47" xr:uid="{00000000-0004-0000-0100-00002E000000}"/>
    <hyperlink ref="K49" r:id="rId48" xr:uid="{00000000-0004-0000-0100-00002F000000}"/>
    <hyperlink ref="K50" r:id="rId49" xr:uid="{00000000-0004-0000-0100-000030000000}"/>
    <hyperlink ref="K51" r:id="rId50" xr:uid="{00000000-0004-0000-0100-000031000000}"/>
    <hyperlink ref="K52" r:id="rId51" xr:uid="{00000000-0004-0000-0100-000032000000}"/>
    <hyperlink ref="K53" r:id="rId52" xr:uid="{00000000-0004-0000-0100-000033000000}"/>
    <hyperlink ref="K54" r:id="rId53" xr:uid="{00000000-0004-0000-0100-000034000000}"/>
    <hyperlink ref="K55" r:id="rId54" xr:uid="{00000000-0004-0000-0100-000035000000}"/>
    <hyperlink ref="K56" r:id="rId55" xr:uid="{00000000-0004-0000-0100-000036000000}"/>
    <hyperlink ref="K57" r:id="rId56" xr:uid="{00000000-0004-0000-0100-000037000000}"/>
    <hyperlink ref="K58" r:id="rId57" xr:uid="{00000000-0004-0000-0100-000038000000}"/>
    <hyperlink ref="K59" r:id="rId58" xr:uid="{00000000-0004-0000-0100-000039000000}"/>
    <hyperlink ref="K60" r:id="rId59" xr:uid="{00000000-0004-0000-0100-00003A000000}"/>
    <hyperlink ref="K61" r:id="rId60" xr:uid="{00000000-0004-0000-0100-00003B000000}"/>
    <hyperlink ref="K62" r:id="rId61" xr:uid="{00000000-0004-0000-0100-00003C000000}"/>
    <hyperlink ref="K63" r:id="rId62" xr:uid="{00000000-0004-0000-0100-00003D000000}"/>
    <hyperlink ref="K64" r:id="rId63" xr:uid="{00000000-0004-0000-0100-00003E000000}"/>
    <hyperlink ref="K65" r:id="rId64" xr:uid="{00000000-0004-0000-0100-00003F000000}"/>
    <hyperlink ref="K66" r:id="rId65" xr:uid="{00000000-0004-0000-0100-000040000000}"/>
    <hyperlink ref="K67" r:id="rId66" xr:uid="{00000000-0004-0000-0100-000041000000}"/>
    <hyperlink ref="K68" r:id="rId67" xr:uid="{00000000-0004-0000-0100-000042000000}"/>
    <hyperlink ref="K69" r:id="rId68" xr:uid="{00000000-0004-0000-0100-000043000000}"/>
    <hyperlink ref="K70" r:id="rId69" xr:uid="{00000000-0004-0000-0100-000044000000}"/>
    <hyperlink ref="K71" r:id="rId70" xr:uid="{00000000-0004-0000-0100-000045000000}"/>
    <hyperlink ref="K72" r:id="rId71" xr:uid="{00000000-0004-0000-0100-000046000000}"/>
    <hyperlink ref="K73" r:id="rId72" xr:uid="{00000000-0004-0000-0100-000047000000}"/>
    <hyperlink ref="K74" r:id="rId73" xr:uid="{00000000-0004-0000-0100-000048000000}"/>
    <hyperlink ref="K75" r:id="rId74" xr:uid="{00000000-0004-0000-0100-000049000000}"/>
    <hyperlink ref="K76" r:id="rId75" xr:uid="{00000000-0004-0000-0100-00004A000000}"/>
    <hyperlink ref="K77" r:id="rId76" xr:uid="{00000000-0004-0000-0100-00004B000000}"/>
    <hyperlink ref="K78" r:id="rId77" xr:uid="{00000000-0004-0000-0100-00004C000000}"/>
  </hyperlinks>
  <pageMargins left="0.75" right="0.75" top="1" bottom="1" header="0.5" footer="0.5"/>
  <legacyDrawing r:id="rId7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Available RCs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Ansh Upadhyay</cp:lastModifiedBy>
  <dcterms:created xsi:type="dcterms:W3CDTF">2026-09-14T20:20:24Z</dcterms:created>
  <dcterms:modified xsi:type="dcterms:W3CDTF">2026-09-15T16:49:36Z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2026-09-14T20:20:40Z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6b8b16eb-f8c2-4347-821b-91df76ccc8ea</vt:lpwstr>
  </property>
  <property fmtid="{D5CDD505-2E9C-101B-9397-08002B2CF9AE}" pid="7" name="MSIP_Label_defa4170-0d19-0005-0004-bc88714345d2_ActionId">
    <vt:lpwstr>5b4fbc28-ea10-4d46-af92-9eebec079b7f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