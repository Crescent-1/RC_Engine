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 Sets" sheetId="1" state="visible" r:id="rId1"/>
    <sheet xmlns:r="http://schemas.openxmlformats.org/officeDocument/2006/relationships" name="Failed Attempts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'RC Sets'!$A$1:$N$19</definedName>
    <definedName name="_xlnm._FilterDatabase" localSheetId="1" hidden="1">'Failed Attempts'!$A$1:$F$72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0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14" customWidth="1" min="3" max="3"/>
    <col width="11" customWidth="1" min="4" max="4"/>
    <col width="13" customWidth="1" min="5" max="5"/>
    <col width="9" customWidth="1" min="6" max="6"/>
    <col width="9" customWidth="1" min="7" max="7"/>
    <col width="12" customWidth="1" min="8" max="8"/>
    <col width="30" customWidth="1" min="9" max="9"/>
    <col width="20" customWidth="1" min="10" max="10"/>
    <col width="34" customWidth="1" min="11" max="11"/>
    <col width="20" customWidth="1" min="12" max="12"/>
    <col width="11" customWidth="1" min="13" max="13"/>
    <col width="28" customWidth="1" min="14" max="14"/>
  </cols>
  <sheetData>
    <row r="1">
      <c r="A1" s="1" t="inlineStr">
        <is>
          <t>RC_ID</t>
        </is>
      </c>
      <c r="B1" s="1" t="inlineStr">
        <is>
          <t>Tier</t>
        </is>
      </c>
      <c r="C1" s="1" t="inlineStr">
        <is>
          <t>Status</t>
        </is>
      </c>
      <c r="D1" s="1" t="inlineStr">
        <is>
          <t>Judge Score</t>
        </is>
      </c>
      <c r="E1" s="1" t="inlineStr">
        <is>
          <t>Compliance F1</t>
        </is>
      </c>
      <c r="F1" s="1" t="inlineStr">
        <is>
          <t>Novelty</t>
        </is>
      </c>
      <c r="G1" s="1" t="inlineStr">
        <is>
          <t>Cost ($)</t>
        </is>
      </c>
      <c r="H1" s="1" t="inlineStr">
        <is>
          <t>Generated On</t>
        </is>
      </c>
      <c r="I1" s="1" t="inlineStr">
        <is>
          <t>Family</t>
        </is>
      </c>
      <c r="J1" s="1" t="inlineStr">
        <is>
          <t>Closing Posture</t>
        </is>
      </c>
      <c r="K1" s="1" t="inlineStr">
        <is>
          <t>Topic</t>
        </is>
      </c>
      <c r="L1" s="1" t="inlineStr">
        <is>
          <t>Shared to Institute (Y/N)</t>
        </is>
      </c>
      <c r="M1" s="1" t="inlineStr">
        <is>
          <t>Shared On</t>
        </is>
      </c>
      <c r="N1" s="1" t="inlineStr">
        <is>
          <t>Remarks</t>
        </is>
      </c>
    </row>
    <row r="2">
      <c r="A2" s="2" t="inlineStr">
        <is>
          <t>RC_E_0706_1</t>
        </is>
      </c>
      <c r="B2" s="2" t="inlineStr">
        <is>
          <t>elite</t>
        </is>
      </c>
      <c r="C2" s="3" t="inlineStr">
        <is>
          <t>approved</t>
        </is>
      </c>
      <c r="D2" s="4" t="n">
        <v>8.800000000000001</v>
      </c>
      <c r="E2" s="4" t="n">
        <v>1</v>
      </c>
      <c r="F2" s="4" t="n">
        <v>0.843</v>
      </c>
      <c r="G2" s="4" t="n">
        <v>0.200058</v>
      </c>
      <c r="H2" s="2" t="inlineStr">
        <is>
          <t>2026-07-06</t>
        </is>
      </c>
      <c r="I2" s="2" t="inlineStr">
        <is>
          <t>F25 The Ecology</t>
        </is>
      </c>
      <c r="J2" s="2" t="inlineStr">
        <is>
          <t>refusal_suspended</t>
        </is>
      </c>
      <c r="K2" s="2" t="inlineStr">
        <is>
          <t>a live conceptual tension in philosophy of science and epistemology</t>
        </is>
      </c>
      <c r="L2" s="2" t="inlineStr"/>
      <c r="M2" s="2" t="inlineStr"/>
      <c r="N2" s="2" t="inlineStr"/>
    </row>
    <row r="3">
      <c r="A3" s="2" t="inlineStr">
        <is>
          <t>RC-HARD-260706-0002</t>
        </is>
      </c>
      <c r="B3" s="2" t="inlineStr">
        <is>
          <t>hard</t>
        </is>
      </c>
      <c r="C3" s="3" t="inlineStr">
        <is>
          <t>approved</t>
        </is>
      </c>
      <c r="D3" s="4" t="n">
        <v>8.800000000000001</v>
      </c>
      <c r="E3" s="4" t="n">
        <v>1</v>
      </c>
      <c r="F3" s="4" t="n">
        <v>0.8090000000000001</v>
      </c>
      <c r="G3" s="4" t="n">
        <v>0.194565</v>
      </c>
      <c r="H3" s="2" t="inlineStr">
        <is>
          <t>2026-07-06</t>
        </is>
      </c>
      <c r="I3" s="2" t="inlineStr">
        <is>
          <t>F01 The Autopsy</t>
        </is>
      </c>
      <c r="J3" s="2" t="inlineStr">
        <is>
          <t>reframe_displace</t>
        </is>
      </c>
      <c r="K3" s="2" t="inlineStr">
        <is>
          <t>a live conceptual tension in Aeon</t>
        </is>
      </c>
      <c r="L3" s="2" t="inlineStr"/>
      <c r="M3" s="2" t="inlineStr"/>
      <c r="N3" s="2" t="inlineStr"/>
    </row>
    <row r="4">
      <c r="A4" s="2" t="inlineStr">
        <is>
          <t>RC-HARD-260706-0003</t>
        </is>
      </c>
      <c r="B4" s="2" t="inlineStr">
        <is>
          <t>hard</t>
        </is>
      </c>
      <c r="C4" s="3" t="inlineStr">
        <is>
          <t>approved</t>
        </is>
      </c>
      <c r="D4" s="4" t="n">
        <v>8.800000000000001</v>
      </c>
      <c r="E4" s="4" t="n">
        <v>1</v>
      </c>
      <c r="F4" s="4" t="n">
        <v>0.793</v>
      </c>
      <c r="G4" s="4" t="n">
        <v>0.19268</v>
      </c>
      <c r="H4" s="2" t="inlineStr">
        <is>
          <t>2026-07-06</t>
        </is>
      </c>
      <c r="I4" s="2" t="inlineStr">
        <is>
          <t>F17 The Half-Life</t>
        </is>
      </c>
      <c r="J4" s="2" t="inlineStr">
        <is>
          <t>resolution_qualified</t>
        </is>
      </c>
      <c r="K4" s="2" t="inlineStr">
        <is>
          <t>a live conceptual tension in Aeon</t>
        </is>
      </c>
      <c r="L4" s="2" t="inlineStr"/>
      <c r="M4" s="2" t="inlineStr"/>
      <c r="N4" s="2" t="inlineStr"/>
    </row>
    <row r="5">
      <c r="A5" s="2" t="inlineStr">
        <is>
          <t>RC-ELITE-260706-0005</t>
        </is>
      </c>
      <c r="B5" s="2" t="inlineStr">
        <is>
          <t>elite</t>
        </is>
      </c>
      <c r="C5" s="5" t="inlineStr">
        <is>
          <t>needs_review</t>
        </is>
      </c>
      <c r="D5" s="4" t="n">
        <v>8.6</v>
      </c>
      <c r="E5" s="4" t="n">
        <v>1</v>
      </c>
      <c r="F5" s="4" t="n">
        <v>0.839</v>
      </c>
      <c r="G5" s="4" t="n">
        <v>0.191167</v>
      </c>
      <c r="H5" s="2" t="inlineStr">
        <is>
          <t>2026-07-06</t>
        </is>
      </c>
      <c r="I5" s="2" t="inlineStr">
        <is>
          <t>F18 The Double Bind</t>
        </is>
      </c>
      <c r="J5" s="2" t="inlineStr">
        <is>
          <t>refusal_suspended</t>
        </is>
      </c>
      <c r="K5" s="2" t="inlineStr">
        <is>
          <t>Should river cities dismantle historic floodwalls to restore urban wetlands, even though the walls protect the poorest riverside neighborhoods from flooding now?</t>
        </is>
      </c>
      <c r="L5" s="2" t="inlineStr"/>
      <c r="M5" s="2" t="inlineStr"/>
      <c r="N5" s="2" t="inlineStr"/>
    </row>
    <row r="6">
      <c r="A6" s="2" t="inlineStr">
        <is>
          <t>RC-ELITE-260706-0006</t>
        </is>
      </c>
      <c r="B6" s="2" t="inlineStr">
        <is>
          <t>elite</t>
        </is>
      </c>
      <c r="C6" s="3" t="inlineStr">
        <is>
          <t>approved</t>
        </is>
      </c>
      <c r="D6" s="4" t="n">
        <v>8.800000000000001</v>
      </c>
      <c r="E6" s="4" t="n">
        <v>1</v>
      </c>
      <c r="F6" s="4" t="n">
        <v>0.745</v>
      </c>
      <c r="G6" s="4" t="n">
        <v>0.203548</v>
      </c>
      <c r="H6" s="2" t="inlineStr">
        <is>
          <t>2026-07-06</t>
        </is>
      </c>
      <c r="I6" s="2" t="inlineStr">
        <is>
          <t>F03 The Scale Shift</t>
        </is>
      </c>
      <c r="J6" s="2" t="inlineStr">
        <is>
          <t>refusal_suspended</t>
        </is>
      </c>
      <c r="K6" s="2" t="inlineStr">
        <is>
          <t>a live conceptual tension in Aeon</t>
        </is>
      </c>
      <c r="L6" s="2" t="inlineStr"/>
      <c r="M6" s="2" t="inlineStr"/>
      <c r="N6" s="2" t="inlineStr"/>
    </row>
    <row r="7">
      <c r="A7" s="2" t="inlineStr">
        <is>
          <t>RC-ELITE-260706-0010</t>
        </is>
      </c>
      <c r="B7" s="2" t="inlineStr">
        <is>
          <t>elite</t>
        </is>
      </c>
      <c r="C7" s="3" t="inlineStr">
        <is>
          <t>approved</t>
        </is>
      </c>
      <c r="D7" s="4" t="n">
        <v>8.6</v>
      </c>
      <c r="E7" s="4" t="n">
        <v>1</v>
      </c>
      <c r="F7" s="4" t="n">
        <v>0.749</v>
      </c>
      <c r="G7" s="4" t="n">
        <v>0.155134</v>
      </c>
      <c r="H7" s="2" t="inlineStr">
        <is>
          <t>2026-07-06</t>
        </is>
      </c>
      <c r="I7" s="2" t="inlineStr">
        <is>
          <t>F27 The Simultaneity Problem</t>
        </is>
      </c>
      <c r="J7" s="2" t="inlineStr">
        <is>
          <t>refusal_suspended</t>
        </is>
      </c>
      <c r="K7" s="2" t="inlineStr">
        <is>
          <t>Whether writing and the rise of legal codes in early states caused each other rather than one causing the other</t>
        </is>
      </c>
      <c r="L7" s="2" t="inlineStr"/>
      <c r="M7" s="2" t="inlineStr"/>
      <c r="N7" s="2" t="inlineStr"/>
    </row>
    <row r="8">
      <c r="A8" s="2" t="inlineStr">
        <is>
          <t>RC-MEDIUM-260707-0003</t>
        </is>
      </c>
      <c r="B8" s="2" t="inlineStr">
        <is>
          <t>medium</t>
        </is>
      </c>
      <c r="C8" s="3" t="inlineStr">
        <is>
          <t>approved</t>
        </is>
      </c>
      <c r="D8" s="4" t="n">
        <v>8.6</v>
      </c>
      <c r="E8" s="4" t="n">
        <v>1</v>
      </c>
      <c r="F8" s="4" t="n">
        <v>0.708</v>
      </c>
      <c r="G8" s="4" t="n">
        <v>0.07436000000000001</v>
      </c>
      <c r="H8" s="2" t="inlineStr">
        <is>
          <t>2026-07-07</t>
        </is>
      </c>
      <c r="I8" s="2" t="inlineStr">
        <is>
          <t>F31 The Load-Bearing Anecdote</t>
        </is>
      </c>
      <c r="J8" s="2" t="inlineStr">
        <is>
          <t>resolution_qualified</t>
        </is>
      </c>
      <c r="K8" s="2" t="inlineStr">
        <is>
          <t>Whether moral cultivation can justify inequality, or whether the belief in self-transformation obscures structural advantage</t>
        </is>
      </c>
      <c r="L8" s="2" t="inlineStr"/>
      <c r="M8" s="2" t="inlineStr"/>
      <c r="N8" s="2" t="inlineStr"/>
    </row>
    <row r="9">
      <c r="A9" s="2" t="inlineStr">
        <is>
          <t>RC-ELITE-260707-0015</t>
        </is>
      </c>
      <c r="B9" s="2" t="inlineStr">
        <is>
          <t>elite</t>
        </is>
      </c>
      <c r="C9" s="3" t="inlineStr">
        <is>
          <t>approved</t>
        </is>
      </c>
      <c r="D9" s="4" t="n">
        <v>8.6</v>
      </c>
      <c r="E9" s="4" t="n">
        <v>1</v>
      </c>
      <c r="F9" s="4" t="n">
        <v>0.784</v>
      </c>
      <c r="G9" s="4" t="n">
        <v>0.157924</v>
      </c>
      <c r="H9" s="2" t="inlineStr">
        <is>
          <t>2026-07-07</t>
        </is>
      </c>
      <c r="I9" s="2" t="inlineStr">
        <is>
          <t>F05 The Reluctant Conversion</t>
        </is>
      </c>
      <c r="J9" s="2" t="inlineStr">
        <is>
          <t>resolution_costed</t>
        </is>
      </c>
      <c r="K9" s="2" t="inlineStr">
        <is>
          <t>Whether translation between languages is fundamentally a creative act or a mechanical one, and what changes when we admit it is creative</t>
        </is>
      </c>
      <c r="L9" s="2" t="inlineStr"/>
      <c r="M9" s="2" t="inlineStr"/>
      <c r="N9" s="2" t="inlineStr"/>
    </row>
    <row r="10">
      <c r="A10" s="2" t="inlineStr">
        <is>
          <t>RC-ELITE-260707-0022</t>
        </is>
      </c>
      <c r="B10" s="2" t="inlineStr">
        <is>
          <t>elite</t>
        </is>
      </c>
      <c r="C10" s="5" t="inlineStr">
        <is>
          <t>needs_review</t>
        </is>
      </c>
      <c r="D10" s="4" t="n">
        <v>8.800000000000001</v>
      </c>
      <c r="E10" s="4" t="n">
        <v>1</v>
      </c>
      <c r="F10" s="4" t="n">
        <v>0.714</v>
      </c>
      <c r="G10" s="4" t="n">
        <v>0.162677</v>
      </c>
      <c r="H10" s="2" t="inlineStr">
        <is>
          <t>2026-07-07</t>
        </is>
      </c>
      <c r="I10" s="2" t="inlineStr">
        <is>
          <t>F21 The Instrument Effect</t>
        </is>
      </c>
      <c r="J10" s="2" t="inlineStr">
        <is>
          <t>reframe_displace</t>
        </is>
      </c>
      <c r="K10" s="2" t="inlineStr">
        <is>
          <t>How the psychiatric concept of 'trauma' has come to constitute the very experiences it was invented to measure</t>
        </is>
      </c>
      <c r="L10" s="2" t="inlineStr"/>
      <c r="M10" s="2" t="inlineStr"/>
      <c r="N10" s="2" t="inlineStr"/>
    </row>
    <row r="11">
      <c r="A11" s="2" t="inlineStr">
        <is>
          <t>RC-ELITE-260711-0023</t>
        </is>
      </c>
      <c r="B11" s="2" t="inlineStr">
        <is>
          <t>elite</t>
        </is>
      </c>
      <c r="C11" s="2" t="inlineStr">
        <is>
          <t>rejected_novelty</t>
        </is>
      </c>
      <c r="D11" s="4" t="n">
        <v>0</v>
      </c>
      <c r="E11" s="4" t="n">
        <v>1</v>
      </c>
      <c r="F11" s="4" t="n">
        <v>0.6879999999999999</v>
      </c>
      <c r="G11" s="4" t="n">
        <v>0.142833</v>
      </c>
      <c r="H11" s="2" t="inlineStr">
        <is>
          <t>2026-07-11</t>
        </is>
      </c>
      <c r="I11" s="2" t="inlineStr">
        <is>
          <t>F24 The Hospitable Critic</t>
        </is>
      </c>
      <c r="J11" s="2" t="inlineStr">
        <is>
          <t>resolution_costed</t>
        </is>
      </c>
      <c r="K11" s="2" t="inlineStr">
        <is>
          <t>A hospitable review of the 'commons' revival in economics — Elinor Ostrom's institutional analysis of shared resources, and the fatal question of what happens when a commons must scale beyond a face-to-face community</t>
        </is>
      </c>
      <c r="L11" s="2" t="inlineStr"/>
      <c r="M11" s="2" t="inlineStr"/>
      <c r="N11" s="2" t="inlineStr"/>
    </row>
    <row r="12">
      <c r="A12" s="2" t="inlineStr">
        <is>
          <t>RC-ELITE-260711-0024</t>
        </is>
      </c>
      <c r="B12" s="2" t="inlineStr">
        <is>
          <t>elite</t>
        </is>
      </c>
      <c r="C12" s="5" t="inlineStr">
        <is>
          <t>needs_review</t>
        </is>
      </c>
      <c r="D12" s="4" t="n">
        <v>8.6</v>
      </c>
      <c r="E12" s="4" t="n">
        <v>1</v>
      </c>
      <c r="F12" s="4" t="n">
        <v>0.707</v>
      </c>
      <c r="G12" s="4" t="n">
        <v>0.144332</v>
      </c>
      <c r="H12" s="2" t="inlineStr">
        <is>
          <t>2026-07-11</t>
        </is>
      </c>
      <c r="I12" s="2" t="inlineStr">
        <is>
          <t>F08 The Costed Victory</t>
        </is>
      </c>
      <c r="J12" s="2" t="inlineStr">
        <is>
          <t>resolution_costed</t>
        </is>
      </c>
      <c r="K12" s="2" t="inlineStr">
        <is>
          <t>Whether the concept of 'sportsmanship' can survive the professionalization of officiating technology (VAR, Hawk-Eye, goal-line sensors) in elite sport</t>
        </is>
      </c>
      <c r="L12" s="2" t="inlineStr"/>
      <c r="M12" s="2" t="inlineStr"/>
      <c r="N12" s="2" t="inlineStr"/>
    </row>
    <row r="13">
      <c r="A13" s="2" t="inlineStr">
        <is>
          <t>RC-ELITE-260711-0025</t>
        </is>
      </c>
      <c r="B13" s="2" t="inlineStr">
        <is>
          <t>elite</t>
        </is>
      </c>
      <c r="C13" s="5" t="inlineStr">
        <is>
          <t>needs_review</t>
        </is>
      </c>
      <c r="D13" s="4" t="n">
        <v>8.6</v>
      </c>
      <c r="E13" s="4" t="n">
        <v>1</v>
      </c>
      <c r="F13" s="4" t="n">
        <v>0.663</v>
      </c>
      <c r="G13" s="4" t="n">
        <v>0.1748419999999999</v>
      </c>
      <c r="H13" s="2" t="inlineStr">
        <is>
          <t>2026-07-11</t>
        </is>
      </c>
      <c r="I13" s="2" t="inlineStr">
        <is>
          <t>F13 The Category Refugee</t>
        </is>
      </c>
      <c r="J13" s="2" t="inlineStr">
        <is>
          <t>reframe_displace</t>
        </is>
      </c>
      <c r="K13" s="2" t="inlineStr">
        <is>
          <t>The unclassifiable status of the 'volunteer plant' — a self-sown crop that appears uninvited in agricultural fields, and what it reveals about the logic of taxonomic systems built for intention</t>
        </is>
      </c>
      <c r="L13" s="2" t="inlineStr"/>
      <c r="M13" s="2" t="inlineStr"/>
      <c r="N13" s="2" t="inlineStr"/>
    </row>
    <row r="14">
      <c r="A14" s="2" t="inlineStr">
        <is>
          <t>RC-HARD-260712-0009</t>
        </is>
      </c>
      <c r="B14" s="2" t="inlineStr">
        <is>
          <t>hard</t>
        </is>
      </c>
      <c r="C14" s="3" t="inlineStr">
        <is>
          <t>approved</t>
        </is>
      </c>
      <c r="D14" s="4" t="n">
        <v>8.800000000000001</v>
      </c>
      <c r="E14" s="4" t="n">
        <v>0.9</v>
      </c>
      <c r="F14" s="4" t="n">
        <v>0.655</v>
      </c>
      <c r="G14" s="4" t="n">
        <v>0.194574</v>
      </c>
      <c r="H14" s="2" t="inlineStr">
        <is>
          <t>2026-07-12</t>
        </is>
      </c>
      <c r="I14" s="2" t="inlineStr">
        <is>
          <t>F14 The Inheritance Dispute</t>
        </is>
      </c>
      <c r="J14" s="2" t="inlineStr">
        <is>
          <t>refusal_dissolved</t>
        </is>
      </c>
      <c r="K14" s="2" t="inlineStr">
        <is>
          <t>The rival claims of statistics and epidemiology to have 'invented' the concept of the randomized controlled trial</t>
        </is>
      </c>
      <c r="L14" s="2" t="inlineStr"/>
      <c r="M14" s="2" t="inlineStr"/>
      <c r="N14" s="2" t="inlineStr"/>
    </row>
    <row r="15">
      <c r="A15" s="2" t="inlineStr">
        <is>
          <t>RC-ELITE-260712-0028</t>
        </is>
      </c>
      <c r="B15" s="2" t="inlineStr">
        <is>
          <t>elite</t>
        </is>
      </c>
      <c r="C15" s="3" t="inlineStr">
        <is>
          <t>approved</t>
        </is>
      </c>
      <c r="D15" s="4" t="n">
        <v>8.800000000000001</v>
      </c>
      <c r="E15" s="4" t="n">
        <v>1</v>
      </c>
      <c r="F15" s="4" t="n">
        <v>0.636</v>
      </c>
      <c r="G15" s="4" t="n">
        <v>0.158663</v>
      </c>
      <c r="H15" s="2" t="inlineStr">
        <is>
          <t>2026-07-12</t>
        </is>
      </c>
      <c r="I15" s="2" t="inlineStr">
        <is>
          <t>F23 The Proxy War</t>
        </is>
      </c>
      <c r="J15" s="2" t="inlineStr">
        <is>
          <t>resolution_costed</t>
        </is>
      </c>
      <c r="K15" s="2" t="inlineStr">
        <is>
          <t>A dispute among orchestras over whether musicians should be permitted to retune their instruments mid-performance, and what it reveals about competing theories of what a musical work actually is</t>
        </is>
      </c>
      <c r="L15" s="2" t="inlineStr"/>
      <c r="M15" s="2" t="inlineStr"/>
      <c r="N15" s="2" t="inlineStr"/>
    </row>
    <row r="16">
      <c r="A16" s="2" t="inlineStr">
        <is>
          <t>RC-HARD-260712-0010</t>
        </is>
      </c>
      <c r="B16" s="2" t="inlineStr">
        <is>
          <t>hard</t>
        </is>
      </c>
      <c r="C16" s="3" t="inlineStr">
        <is>
          <t>approved</t>
        </is>
      </c>
      <c r="D16" s="4" t="n">
        <v>8.800000000000001</v>
      </c>
      <c r="E16" s="4" t="n">
        <v>1</v>
      </c>
      <c r="F16" s="4" t="n">
        <v>0.8080000000000001</v>
      </c>
      <c r="G16" s="4" t="n">
        <v>0.201009</v>
      </c>
      <c r="H16" s="2" t="inlineStr">
        <is>
          <t>2026-07-12</t>
        </is>
      </c>
      <c r="I16" s="2" t="inlineStr">
        <is>
          <t>F32 The Coalition of Errors</t>
        </is>
      </c>
      <c r="J16" s="2" t="inlineStr">
        <is>
          <t>refusal_suspended</t>
        </is>
      </c>
      <c r="K16" s="2" t="inlineStr">
        <is>
          <t>Why the widely accepted claim that 'grit' predicts long-term success survives despite the collapse of its standard evidentiary defenses</t>
        </is>
      </c>
      <c r="L16" s="2" t="inlineStr"/>
      <c r="M16" s="2" t="inlineStr"/>
      <c r="N16" s="2" t="inlineStr"/>
    </row>
    <row r="17">
      <c r="A17" s="2" t="inlineStr">
        <is>
          <t>RC-HARD-260712-0013</t>
        </is>
      </c>
      <c r="B17" s="2" t="inlineStr">
        <is>
          <t>hard</t>
        </is>
      </c>
      <c r="C17" s="3" t="inlineStr">
        <is>
          <t>approved</t>
        </is>
      </c>
      <c r="D17" s="4" t="n">
        <v>8.800000000000001</v>
      </c>
      <c r="E17" s="4" t="n">
        <v>1</v>
      </c>
      <c r="F17" s="4" t="n">
        <v>0.701</v>
      </c>
      <c r="G17" s="4" t="n">
        <v>0.190196</v>
      </c>
      <c r="H17" s="2" t="inlineStr">
        <is>
          <t>2026-07-12</t>
        </is>
      </c>
      <c r="I17" s="2" t="inlineStr">
        <is>
          <t>F10 The Practitioner's Rebuke</t>
        </is>
      </c>
      <c r="J17" s="2" t="inlineStr">
        <is>
          <t>refusal_dissolved</t>
        </is>
      </c>
      <c r="K17" s="2" t="inlineStr">
        <is>
          <t>The clash between decision-theoretic models of triage and what emergency-room nurses actually do when allocating scarce beds</t>
        </is>
      </c>
      <c r="L17" s="2" t="inlineStr"/>
      <c r="M17" s="2" t="inlineStr"/>
      <c r="N17" s="2" t="inlineStr"/>
    </row>
    <row r="18">
      <c r="A18" s="2" t="inlineStr">
        <is>
          <t>RC-ELITE-260712-0029</t>
        </is>
      </c>
      <c r="B18" s="2" t="inlineStr">
        <is>
          <t>elite</t>
        </is>
      </c>
      <c r="C18" s="3" t="inlineStr">
        <is>
          <t>approved</t>
        </is>
      </c>
      <c r="D18" s="4" t="n">
        <v>8.800000000000001</v>
      </c>
      <c r="E18" s="4" t="n">
        <v>1</v>
      </c>
      <c r="F18" s="4" t="n">
        <v>0.669</v>
      </c>
      <c r="G18" s="4" t="n">
        <v>0.313894</v>
      </c>
      <c r="H18" s="2" t="inlineStr">
        <is>
          <t>2026-07-12</t>
        </is>
      </c>
      <c r="I18" s="2" t="inlineStr">
        <is>
          <t>F02 The Borrowed Lens</t>
        </is>
      </c>
      <c r="J18" s="2" t="inlineStr">
        <is>
          <t>resolution_costed</t>
        </is>
      </c>
      <c r="K18" s="2" t="inlineStr">
        <is>
          <t>Applying signal-detection theory (a framework built for radar and sonar operators) to how forensic fingerprint examiners decide whether two prints 'match' — and what gets lost when a courtroom judgment is treated as a detection problem</t>
        </is>
      </c>
      <c r="L18" s="2" t="inlineStr"/>
      <c r="M18" s="2" t="inlineStr"/>
      <c r="N18" s="2" t="inlineStr"/>
    </row>
    <row r="19">
      <c r="A19" s="2" t="inlineStr">
        <is>
          <t>RC-MEDIUM-260712-0020</t>
        </is>
      </c>
      <c r="B19" s="2" t="inlineStr">
        <is>
          <t>medium</t>
        </is>
      </c>
      <c r="C19" s="3" t="inlineStr">
        <is>
          <t>approved</t>
        </is>
      </c>
      <c r="D19" s="4" t="n">
        <v>8.4</v>
      </c>
      <c r="E19" s="4" t="n">
        <v>1</v>
      </c>
      <c r="F19" s="4" t="n">
        <v>0.711</v>
      </c>
      <c r="G19" s="4" t="n">
        <v>0.146743</v>
      </c>
      <c r="H19" s="2" t="inlineStr">
        <is>
          <t>2026-07-12</t>
        </is>
      </c>
      <c r="I19" s="2" t="inlineStr">
        <is>
          <t>F20 The Minority Report</t>
        </is>
      </c>
      <c r="J19" s="2" t="inlineStr">
        <is>
          <t>resolution_costed</t>
        </is>
      </c>
      <c r="K19" s="2" t="inlineStr">
        <is>
          <t>Why the mid-century ergonomic case for designing workspaces around the average human body was intellectually coherent, and what understanding of labour we lost when individual variation reclaimed the design agenda.</t>
        </is>
      </c>
      <c r="L19" s="2" t="inlineStr"/>
      <c r="M19" s="2" t="inlineStr"/>
      <c r="N19" s="2" t="inlineStr"/>
    </row>
  </sheetData>
  <autoFilter ref="A1:N1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28" customWidth="1" min="3" max="3"/>
    <col width="18" customWidth="1" min="4" max="4"/>
    <col width="12" customWidth="1" min="5" max="5"/>
    <col width="70" customWidth="1" min="6" max="6"/>
  </cols>
  <sheetData>
    <row r="1">
      <c r="A1" s="1" t="inlineStr">
        <is>
          <t>Blueprint ID</t>
        </is>
      </c>
      <c r="B1" s="1" t="inlineStr">
        <is>
          <t>Tier</t>
        </is>
      </c>
      <c r="C1" s="1" t="inlineStr">
        <is>
          <t>Family</t>
        </is>
      </c>
      <c r="D1" s="1" t="inlineStr">
        <is>
          <t>Status</t>
        </is>
      </c>
      <c r="E1" s="1" t="inlineStr">
        <is>
          <t>Date</t>
        </is>
      </c>
      <c r="F1" s="1" t="inlineStr">
        <is>
          <t>Rejection Reason (novelty audit)</t>
        </is>
      </c>
    </row>
    <row r="2">
      <c r="A2" s="2" t="inlineStr">
        <is>
          <t>BP_260706_64861678</t>
        </is>
      </c>
      <c r="B2" s="2" t="inlineStr">
        <is>
          <t>hard</t>
        </is>
      </c>
      <c r="C2" s="2" t="inlineStr">
        <is>
          <t>F07 The Vanishing Object</t>
        </is>
      </c>
      <c r="D2" s="2" t="inlineStr">
        <is>
          <t>rejected_novelty</t>
        </is>
      </c>
      <c r="E2" s="2" t="inlineStr">
        <is>
          <t>2026-07-06</t>
        </is>
      </c>
      <c r="F2" s="2" t="inlineStr">
        <is>
          <t>embedding_cosine 0.81 vs RC_E_0705_7</t>
        </is>
      </c>
    </row>
    <row r="3">
      <c r="A3" s="2" t="inlineStr">
        <is>
          <t>BP_260706_f22563d2</t>
        </is>
      </c>
      <c r="B3" s="2" t="inlineStr">
        <is>
          <t>elite</t>
        </is>
      </c>
      <c r="C3" s="2" t="inlineStr">
        <is>
          <t>F09 The Time-Lag Argument</t>
        </is>
      </c>
      <c r="D3" s="2" t="inlineStr">
        <is>
          <t>rejected_novelty</t>
        </is>
      </c>
      <c r="E3" s="2" t="inlineStr">
        <is>
          <t>2026-07-06</t>
        </is>
      </c>
      <c r="F3" s="2" t="inlineStr">
        <is>
          <t>curve_pearson 0.92 vs RC-HARD-260706-0002; rhythm_cosine 0.93 vs RC_E_0705_3</t>
        </is>
      </c>
    </row>
    <row r="4">
      <c r="A4" s="2" t="inlineStr">
        <is>
          <t>BP_260706_222c43ae</t>
        </is>
      </c>
      <c r="B4" s="2" t="inlineStr">
        <is>
          <t>elite</t>
        </is>
      </c>
      <c r="C4" s="2" t="inlineStr">
        <is>
          <t>F27 The Simultaneity Problem</t>
        </is>
      </c>
      <c r="D4" s="2" t="inlineStr">
        <is>
          <t>rejected_novelty</t>
        </is>
      </c>
      <c r="E4" s="2" t="inlineStr">
        <is>
          <t>2026-07-06</t>
        </is>
      </c>
      <c r="F4" s="2" t="inlineStr">
        <is>
          <t>curve_pearson 0.88 vs RC-HARD-260706-0002</t>
        </is>
      </c>
    </row>
    <row r="5">
      <c r="A5" s="2" t="inlineStr">
        <is>
          <t>BP_260706_78cdbd8d</t>
        </is>
      </c>
      <c r="B5" s="2" t="inlineStr">
        <is>
          <t>elite</t>
        </is>
      </c>
      <c r="C5" s="2" t="inlineStr">
        <is>
          <t>F30 The Self-Application</t>
        </is>
      </c>
      <c r="D5" s="2" t="inlineStr">
        <is>
          <t>rejected_novelty</t>
        </is>
      </c>
      <c r="E5" s="2" t="inlineStr">
        <is>
          <t>2026-07-06</t>
        </is>
      </c>
      <c r="F5" s="2" t="inlineStr">
        <is>
          <t>rhythm_cosine 0.97 vs RC-HARD-260706-0002; embedding_cosine 0.80 vs rc_3; embedding_cosine 0.80 vs RC_E_0705_3</t>
        </is>
      </c>
    </row>
    <row r="6">
      <c r="A6" s="2" t="inlineStr">
        <is>
          <t>BP_260706_c253ef7b</t>
        </is>
      </c>
      <c r="B6" s="2" t="inlineStr">
        <is>
          <t>elite</t>
        </is>
      </c>
      <c r="C6" s="2" t="inlineStr">
        <is>
          <t>F28 The Boring Truth</t>
        </is>
      </c>
      <c r="D6" s="2" t="inlineStr">
        <is>
          <t>rejected_novelty</t>
        </is>
      </c>
      <c r="E6" s="2" t="inlineStr">
        <is>
          <t>2026-07-06</t>
        </is>
      </c>
      <c r="F6" s="2" t="inlineStr">
        <is>
          <t>embedding_cosine 0.81 vs RC_E_0706_1</t>
        </is>
      </c>
    </row>
    <row r="7">
      <c r="A7" s="2" t="inlineStr">
        <is>
          <t>BP_260706_ec7e4bcb</t>
        </is>
      </c>
      <c r="B7" s="2" t="inlineStr">
        <is>
          <t>elite</t>
        </is>
      </c>
      <c r="C7" s="2" t="inlineStr">
        <is>
          <t>F06 The Third Thing</t>
        </is>
      </c>
      <c r="D7" s="2" t="inlineStr">
        <is>
          <t>rejected_novelty</t>
        </is>
      </c>
      <c r="E7" s="2" t="inlineStr">
        <is>
          <t>2026-07-06</t>
        </is>
      </c>
      <c r="F7" s="2" t="inlineStr">
        <is>
          <t>curve_pearson 0.86 vs RC-ELITE-260706-0006</t>
        </is>
      </c>
    </row>
    <row r="8">
      <c r="A8" s="2" t="inlineStr">
        <is>
          <t>BP_260706_a994c264</t>
        </is>
      </c>
      <c r="B8" s="2" t="inlineStr">
        <is>
          <t>elite</t>
        </is>
      </c>
      <c r="C8" s="2" t="inlineStr">
        <is>
          <t>F09 The Time-Lag Argument</t>
        </is>
      </c>
      <c r="D8" s="2" t="inlineStr">
        <is>
          <t>rejected_novelty</t>
        </is>
      </c>
      <c r="E8" s="2" t="inlineStr">
        <is>
          <t>2026-07-06</t>
        </is>
      </c>
      <c r="F8" s="2" t="inlineStr">
        <is>
          <t>curve_pearson 1.00 vs RC-ELITE-260706-0006</t>
        </is>
      </c>
    </row>
    <row r="9">
      <c r="A9" s="2" t="inlineStr">
        <is>
          <t>BP_260706_0ccbd61d</t>
        </is>
      </c>
      <c r="B9" s="2" t="inlineStr">
        <is>
          <t>elite</t>
        </is>
      </c>
      <c r="C9" s="2" t="inlineStr">
        <is>
          <t>F14 The Inheritance Dispute</t>
        </is>
      </c>
      <c r="D9" s="2" t="inlineStr">
        <is>
          <t>rejected_novelty</t>
        </is>
      </c>
      <c r="E9" s="2" t="inlineStr">
        <is>
          <t>2026-07-06</t>
        </is>
      </c>
      <c r="F9" s="2" t="inlineStr">
        <is>
          <t>embedding_cosine 0.81 vs RC_E_0705_7</t>
        </is>
      </c>
    </row>
    <row r="10">
      <c r="A10" s="2" t="inlineStr">
        <is>
          <t>BP_260707_5f9eef80</t>
        </is>
      </c>
      <c r="B10" s="2" t="inlineStr">
        <is>
          <t>medium</t>
        </is>
      </c>
      <c r="C10" s="2" t="inlineStr">
        <is>
          <t>F15 The Diagnostic Reversal</t>
        </is>
      </c>
      <c r="D10" s="2" t="inlineStr">
        <is>
          <t>rejected_novelty</t>
        </is>
      </c>
      <c r="E10" s="2" t="inlineStr">
        <is>
          <t>2026-07-07</t>
        </is>
      </c>
      <c r="F10" s="2" t="inlineStr">
        <is>
          <t>curve_pearson 0.92 vs RC-ELITE-260706-0005</t>
        </is>
      </c>
    </row>
    <row r="11">
      <c r="A11" s="2" t="inlineStr">
        <is>
          <t>BP_260707_dd0fbef2</t>
        </is>
      </c>
      <c r="B11" s="2" t="inlineStr">
        <is>
          <t>medium</t>
        </is>
      </c>
      <c r="C11" s="2" t="inlineStr">
        <is>
          <t>F02 The Borrowed Lens</t>
        </is>
      </c>
      <c r="D11" s="2" t="inlineStr">
        <is>
          <t>rejected_novelty</t>
        </is>
      </c>
      <c r="E11" s="2" t="inlineStr">
        <is>
          <t>2026-07-07</t>
        </is>
      </c>
      <c r="F11" s="2" t="inlineStr">
        <is>
          <t>curve_pearson 0.99 vs RC-ELITE-260706-0010; curve_pearson 0.89 vs RC-HARD-260706-0002</t>
        </is>
      </c>
    </row>
    <row r="12">
      <c r="A12" s="2" t="inlineStr">
        <is>
          <t>BP_260707_8394e41c</t>
        </is>
      </c>
      <c r="B12" s="2" t="inlineStr">
        <is>
          <t>medium</t>
        </is>
      </c>
      <c r="C12" s="2" t="inlineStr">
        <is>
          <t>F11 The Asymmetry Hunt</t>
        </is>
      </c>
      <c r="D12" s="2" t="inlineStr">
        <is>
          <t>rejected_novelty</t>
        </is>
      </c>
      <c r="E12" s="2" t="inlineStr">
        <is>
          <t>2026-07-07</t>
        </is>
      </c>
      <c r="F12" s="2" t="inlineStr">
        <is>
          <t>curve_pearson 0.98 vs RC-MEDIUM-260707-0003</t>
        </is>
      </c>
    </row>
    <row r="13">
      <c r="A13" s="2" t="inlineStr">
        <is>
          <t>BP_260707_32f59437</t>
        </is>
      </c>
      <c r="B13" s="2" t="inlineStr">
        <is>
          <t>medium</t>
        </is>
      </c>
      <c r="C13" s="2" t="inlineStr">
        <is>
          <t>F20 The Minority Report</t>
        </is>
      </c>
      <c r="D13" s="2" t="inlineStr">
        <is>
          <t>rejected_novelty</t>
        </is>
      </c>
      <c r="E13" s="2" t="inlineStr">
        <is>
          <t>2026-07-07</t>
        </is>
      </c>
      <c r="F13" s="2" t="inlineStr">
        <is>
          <t>curve_pearson 1.00 vs RC-ELITE-260706-0006; embedding_cosine 0.87 vs RC_E_0705_5</t>
        </is>
      </c>
    </row>
    <row r="14">
      <c r="A14" s="2" t="inlineStr">
        <is>
          <t>BP_260707_f9be2e5f</t>
        </is>
      </c>
      <c r="B14" s="2" t="inlineStr">
        <is>
          <t>medium</t>
        </is>
      </c>
      <c r="C14" s="2" t="inlineStr">
        <is>
          <t>F12 The Successful Failure</t>
        </is>
      </c>
      <c r="D14" s="2" t="inlineStr">
        <is>
          <t>rejected_novelty</t>
        </is>
      </c>
      <c r="E14" s="2" t="inlineStr">
        <is>
          <t>2026-07-07</t>
        </is>
      </c>
      <c r="F14" s="2" t="inlineStr">
        <is>
          <t>curve_pearson 0.92 vs RC-ELITE-260706-0010; curve_pearson 0.97 vs RC-HARD-260706-0002</t>
        </is>
      </c>
    </row>
    <row r="15">
      <c r="A15" s="2" t="inlineStr">
        <is>
          <t>BP_260707_172f65e3</t>
        </is>
      </c>
      <c r="B15" s="2" t="inlineStr">
        <is>
          <t>elite</t>
        </is>
      </c>
      <c r="C15" s="2" t="inlineStr">
        <is>
          <t>F23 The Proxy War</t>
        </is>
      </c>
      <c r="D15" s="2" t="inlineStr">
        <is>
          <t>rejected_novelty</t>
        </is>
      </c>
      <c r="E15" s="2" t="inlineStr">
        <is>
          <t>2026-07-07</t>
        </is>
      </c>
      <c r="F15" s="2" t="inlineStr">
        <is>
          <t>curve_pearson 0.90 vs RC-ELITE-260706-0010; curve_pearson 0.96 vs RC-HARD-260706-0002</t>
        </is>
      </c>
    </row>
    <row r="16">
      <c r="A16" s="2" t="inlineStr">
        <is>
          <t>BP_260707_9fee80a8</t>
        </is>
      </c>
      <c r="B16" s="2" t="inlineStr">
        <is>
          <t>elite</t>
        </is>
      </c>
      <c r="C16" s="2" t="inlineStr">
        <is>
          <t>F07 The Vanishing Object</t>
        </is>
      </c>
      <c r="D16" s="2" t="inlineStr">
        <is>
          <t>rejected_novelty</t>
        </is>
      </c>
      <c r="E16" s="2" t="inlineStr">
        <is>
          <t>2026-07-07</t>
        </is>
      </c>
      <c r="F16" s="2" t="inlineStr">
        <is>
          <t>embedding_cosine 0.84 vs RC_E_0705_5</t>
        </is>
      </c>
    </row>
    <row r="17">
      <c r="A17" s="2" t="inlineStr">
        <is>
          <t>BP_260707_c8f6e268</t>
        </is>
      </c>
      <c r="B17" s="2" t="inlineStr">
        <is>
          <t>elite</t>
        </is>
      </c>
      <c r="C17" s="2" t="inlineStr">
        <is>
          <t>F09 The Time-Lag Argument</t>
        </is>
      </c>
      <c r="D17" s="2" t="inlineStr">
        <is>
          <t>rejected_novelty</t>
        </is>
      </c>
      <c r="E17" s="2" t="inlineStr">
        <is>
          <t>2026-07-07</t>
        </is>
      </c>
      <c r="F17" s="2" t="inlineStr">
        <is>
          <t>curve_pearson 0.99 vs RC-ELITE-260706-0006; embedding_cosine 0.84 vs RC_E_0705_5</t>
        </is>
      </c>
    </row>
    <row r="18">
      <c r="A18" s="2" t="inlineStr">
        <is>
          <t>BP_260707_ded70f5e</t>
        </is>
      </c>
      <c r="B18" s="2" t="inlineStr">
        <is>
          <t>elite</t>
        </is>
      </c>
      <c r="C18" s="2" t="inlineStr">
        <is>
          <t>F08 The Costed Victory</t>
        </is>
      </c>
      <c r="D18" s="2" t="inlineStr">
        <is>
          <t>rejected_novelty</t>
        </is>
      </c>
      <c r="E18" s="2" t="inlineStr">
        <is>
          <t>2026-07-07</t>
        </is>
      </c>
      <c r="F18" s="2" t="inlineStr">
        <is>
          <t>embedding_cosine 0.84 vs RC_E_0705_5</t>
        </is>
      </c>
    </row>
    <row r="19">
      <c r="A19" s="2" t="inlineStr">
        <is>
          <t>BP_260707_06ed637a</t>
        </is>
      </c>
      <c r="B19" s="2" t="inlineStr">
        <is>
          <t>medium</t>
        </is>
      </c>
      <c r="C19" s="2" t="inlineStr">
        <is>
          <t>F10 The Practitioner's Rebuke</t>
        </is>
      </c>
      <c r="D19" s="2" t="inlineStr">
        <is>
          <t>rejected_novelty</t>
        </is>
      </c>
      <c r="E19" s="2" t="inlineStr">
        <is>
          <t>2026-07-07</t>
        </is>
      </c>
      <c r="F19" s="2" t="inlineStr">
        <is>
          <t>curve_pearson 0.88 vs RC-ELITE-260706-0005; embedding_cosine 0.81 vs rc_1; embedding_cosine 0.81 vs RC_E_0705_3</t>
        </is>
      </c>
    </row>
    <row r="20">
      <c r="A20" s="2" t="inlineStr">
        <is>
          <t>BP_260707_3a9d36f5</t>
        </is>
      </c>
      <c r="B20" s="2" t="inlineStr">
        <is>
          <t>medium</t>
        </is>
      </c>
      <c r="C20" s="2" t="inlineStr">
        <is>
          <t>F14 The Inheritance Dispute</t>
        </is>
      </c>
      <c r="D20" s="2" t="inlineStr">
        <is>
          <t>rejected_novelty</t>
        </is>
      </c>
      <c r="E20" s="2" t="inlineStr">
        <is>
          <t>2026-07-07</t>
        </is>
      </c>
      <c r="F20" s="2" t="inlineStr">
        <is>
          <t>embedding_cosine 0.80 vs RC_E_0705_7</t>
        </is>
      </c>
    </row>
    <row r="21">
      <c r="A21" s="2" t="inlineStr">
        <is>
          <t>BP_260707_903e0762</t>
        </is>
      </c>
      <c r="B21" s="2" t="inlineStr">
        <is>
          <t>medium</t>
        </is>
      </c>
      <c r="C21" s="2" t="inlineStr">
        <is>
          <t>F09 The Time-Lag Argument</t>
        </is>
      </c>
      <c r="D21" s="2" t="inlineStr">
        <is>
          <t>rejected_questions</t>
        </is>
      </c>
      <c r="E21" s="2" t="inlineStr">
        <is>
          <t>2026-07-07</t>
        </is>
      </c>
      <c r="F21" s="2" t="inlineStr"/>
    </row>
    <row r="22">
      <c r="A22" s="2" t="inlineStr">
        <is>
          <t>BP_260707_21e98e22</t>
        </is>
      </c>
      <c r="B22" s="2" t="inlineStr">
        <is>
          <t>medium</t>
        </is>
      </c>
      <c r="C22" s="2" t="inlineStr">
        <is>
          <t>F14 The Inheritance Dispute</t>
        </is>
      </c>
      <c r="D22" s="2" t="inlineStr">
        <is>
          <t>rejected_novelty</t>
        </is>
      </c>
      <c r="E22" s="2" t="inlineStr">
        <is>
          <t>2026-07-07</t>
        </is>
      </c>
      <c r="F22" s="2" t="inlineStr">
        <is>
          <t>curve_pearson 0.88 vs RC-MEDIUM-260707-0003; embedding_cosine 0.80 vs rc_5</t>
        </is>
      </c>
    </row>
    <row r="23">
      <c r="A23" s="2" t="inlineStr">
        <is>
          <t>BP_260707_6d3d6d72</t>
        </is>
      </c>
      <c r="B23" s="2" t="inlineStr">
        <is>
          <t>medium</t>
        </is>
      </c>
      <c r="C23" s="2" t="inlineStr">
        <is>
          <t>F14 The Inheritance Dispute</t>
        </is>
      </c>
      <c r="D23" s="2" t="inlineStr">
        <is>
          <t>rejected_novelty</t>
        </is>
      </c>
      <c r="E23" s="2" t="inlineStr">
        <is>
          <t>2026-07-07</t>
        </is>
      </c>
      <c r="F23" s="2" t="inlineStr">
        <is>
          <t>embedding_cosine 0.82 vs RC_H_0705_4</t>
        </is>
      </c>
    </row>
    <row r="24">
      <c r="A24" s="2" t="inlineStr">
        <is>
          <t>BP_260707_1508e0c7</t>
        </is>
      </c>
      <c r="B24" s="2" t="inlineStr">
        <is>
          <t>medium</t>
        </is>
      </c>
      <c r="C24" s="2" t="inlineStr">
        <is>
          <t>F12 The Successful Failure</t>
        </is>
      </c>
      <c r="D24" s="2" t="inlineStr">
        <is>
          <t>composed</t>
        </is>
      </c>
      <c r="E24" s="2" t="inlineStr">
        <is>
          <t>2026-07-07</t>
        </is>
      </c>
      <c r="F24" s="2" t="inlineStr"/>
    </row>
    <row r="25">
      <c r="A25" s="2" t="inlineStr">
        <is>
          <t>BP_260707_0f6fcbfa</t>
        </is>
      </c>
      <c r="B25" s="2" t="inlineStr">
        <is>
          <t>medium</t>
        </is>
      </c>
      <c r="C25" s="2" t="inlineStr">
        <is>
          <t>F14 The Inheritance Dispute</t>
        </is>
      </c>
      <c r="D25" s="2" t="inlineStr">
        <is>
          <t>composed</t>
        </is>
      </c>
      <c r="E25" s="2" t="inlineStr">
        <is>
          <t>2026-07-07</t>
        </is>
      </c>
      <c r="F25" s="2" t="inlineStr"/>
    </row>
    <row r="26">
      <c r="A26" s="2" t="inlineStr">
        <is>
          <t>BP_260707_66bcd8a9</t>
        </is>
      </c>
      <c r="B26" s="2" t="inlineStr">
        <is>
          <t>medium</t>
        </is>
      </c>
      <c r="C26" s="2" t="inlineStr">
        <is>
          <t>F10 The Practitioner's Rebuke</t>
        </is>
      </c>
      <c r="D26" s="2" t="inlineStr">
        <is>
          <t>composed</t>
        </is>
      </c>
      <c r="E26" s="2" t="inlineStr">
        <is>
          <t>2026-07-07</t>
        </is>
      </c>
      <c r="F26" s="2" t="inlineStr"/>
    </row>
    <row r="27">
      <c r="A27" s="2" t="inlineStr">
        <is>
          <t>BP_260707_35e6e949</t>
        </is>
      </c>
      <c r="B27" s="2" t="inlineStr">
        <is>
          <t>hard</t>
        </is>
      </c>
      <c r="C27" s="2" t="inlineStr">
        <is>
          <t>F06 The Third Thing</t>
        </is>
      </c>
      <c r="D27" s="2" t="inlineStr">
        <is>
          <t>composed</t>
        </is>
      </c>
      <c r="E27" s="2" t="inlineStr">
        <is>
          <t>2026-07-07</t>
        </is>
      </c>
      <c r="F27" s="2" t="inlineStr"/>
    </row>
    <row r="28">
      <c r="A28" s="2" t="inlineStr">
        <is>
          <t>BP_260707_d578723a</t>
        </is>
      </c>
      <c r="B28" s="2" t="inlineStr">
        <is>
          <t>elite</t>
        </is>
      </c>
      <c r="C28" s="2" t="inlineStr">
        <is>
          <t>F06 The Third Thing</t>
        </is>
      </c>
      <c r="D28" s="2" t="inlineStr">
        <is>
          <t>composed</t>
        </is>
      </c>
      <c r="E28" s="2" t="inlineStr">
        <is>
          <t>2026-07-07</t>
        </is>
      </c>
      <c r="F28" s="2" t="inlineStr"/>
    </row>
    <row r="29">
      <c r="A29" s="2" t="inlineStr">
        <is>
          <t>BP_260707_ce691026</t>
        </is>
      </c>
      <c r="B29" s="2" t="inlineStr">
        <is>
          <t>elite</t>
        </is>
      </c>
      <c r="C29" s="2" t="inlineStr">
        <is>
          <t>F06 The Third Thing</t>
        </is>
      </c>
      <c r="D29" s="2" t="inlineStr">
        <is>
          <t>composed</t>
        </is>
      </c>
      <c r="E29" s="2" t="inlineStr">
        <is>
          <t>2026-07-07</t>
        </is>
      </c>
      <c r="F29" s="2" t="inlineStr"/>
    </row>
    <row r="30">
      <c r="A30" s="2" t="inlineStr">
        <is>
          <t>BP_260707_0c7b027c</t>
        </is>
      </c>
      <c r="B30" s="2" t="inlineStr">
        <is>
          <t>medium</t>
        </is>
      </c>
      <c r="C30" s="2" t="inlineStr">
        <is>
          <t>F10 The Practitioner's Rebuke</t>
        </is>
      </c>
      <c r="D30" s="2" t="inlineStr">
        <is>
          <t>rejected_novelty</t>
        </is>
      </c>
      <c r="E30" s="2" t="inlineStr">
        <is>
          <t>2026-07-07</t>
        </is>
      </c>
      <c r="F30" s="2" t="inlineStr">
        <is>
          <t>curve_pearson 0.94 vs RC-ELITE-260707-0015; embedding_cosine 0.80 vs RC_E_0705_3</t>
        </is>
      </c>
    </row>
    <row r="31">
      <c r="A31" s="2" t="inlineStr">
        <is>
          <t>BP_260707_1b7a8b01</t>
        </is>
      </c>
      <c r="B31" s="2" t="inlineStr">
        <is>
          <t>medium</t>
        </is>
      </c>
      <c r="C31" s="2" t="inlineStr">
        <is>
          <t>F12 The Successful Failure</t>
        </is>
      </c>
      <c r="D31" s="2" t="inlineStr">
        <is>
          <t>rejected_novelty</t>
        </is>
      </c>
      <c r="E31" s="2" t="inlineStr">
        <is>
          <t>2026-07-07</t>
        </is>
      </c>
      <c r="F31" s="2" t="inlineStr">
        <is>
          <t>curve_pearson 0.99 vs RC-ELITE-260706-0010; curve_pearson 0.86 vs RC-HARD-260706-0002</t>
        </is>
      </c>
    </row>
    <row r="32">
      <c r="A32" s="2" t="inlineStr">
        <is>
          <t>BP_260707_694b2f8e</t>
        </is>
      </c>
      <c r="B32" s="2" t="inlineStr">
        <is>
          <t>medium</t>
        </is>
      </c>
      <c r="C32" s="2" t="inlineStr">
        <is>
          <t>F12 The Successful Failure</t>
        </is>
      </c>
      <c r="D32" s="2" t="inlineStr">
        <is>
          <t>rejected_novelty</t>
        </is>
      </c>
      <c r="E32" s="2" t="inlineStr">
        <is>
          <t>2026-07-07</t>
        </is>
      </c>
      <c r="F32" s="2" t="inlineStr">
        <is>
          <t>curve_pearson 0.96 vs RC-ELITE-260706-0010; curve_pearson 0.94 vs RC-HARD-260706-0002</t>
        </is>
      </c>
    </row>
    <row r="33">
      <c r="A33" s="2" t="inlineStr">
        <is>
          <t>BP_260707_d2f65db8</t>
        </is>
      </c>
      <c r="B33" s="2" t="inlineStr">
        <is>
          <t>medium</t>
        </is>
      </c>
      <c r="C33" s="2" t="inlineStr">
        <is>
          <t>F12 The Successful Failure</t>
        </is>
      </c>
      <c r="D33" s="2" t="inlineStr">
        <is>
          <t>rejected_novelty</t>
        </is>
      </c>
      <c r="E33" s="2" t="inlineStr">
        <is>
          <t>2026-07-07</t>
        </is>
      </c>
      <c r="F33" s="2" t="inlineStr">
        <is>
          <t>curve_pearson 0.94 vs RC-ELITE-260706-0010; curve_pearson 0.96 vs RC-HARD-260706-0002</t>
        </is>
      </c>
    </row>
    <row r="34">
      <c r="A34" s="2" t="inlineStr">
        <is>
          <t>BP_260707_0d92f551</t>
        </is>
      </c>
      <c r="B34" s="2" t="inlineStr">
        <is>
          <t>medium</t>
        </is>
      </c>
      <c r="C34" s="2" t="inlineStr">
        <is>
          <t>F14 The Inheritance Dispute</t>
        </is>
      </c>
      <c r="D34" s="2" t="inlineStr">
        <is>
          <t>rejected_questions</t>
        </is>
      </c>
      <c r="E34" s="2" t="inlineStr">
        <is>
          <t>2026-07-07</t>
        </is>
      </c>
      <c r="F34" s="2" t="inlineStr"/>
    </row>
    <row r="35">
      <c r="A35" s="2" t="inlineStr">
        <is>
          <t>BP_260707_17f4e54e</t>
        </is>
      </c>
      <c r="B35" s="2" t="inlineStr">
        <is>
          <t>hard</t>
        </is>
      </c>
      <c r="C35" s="2" t="inlineStr">
        <is>
          <t>F13 The Category Refugee</t>
        </is>
      </c>
      <c r="D35" s="2" t="inlineStr">
        <is>
          <t>rejected_novelty</t>
        </is>
      </c>
      <c r="E35" s="2" t="inlineStr">
        <is>
          <t>2026-07-07</t>
        </is>
      </c>
      <c r="F35" s="2" t="inlineStr">
        <is>
          <t>embedding_cosine 0.81 vs RC_E_0705_5</t>
        </is>
      </c>
    </row>
    <row r="36">
      <c r="A36" s="2" t="inlineStr">
        <is>
          <t>BP_260707_dffc9627</t>
        </is>
      </c>
      <c r="B36" s="2" t="inlineStr">
        <is>
          <t>hard</t>
        </is>
      </c>
      <c r="C36" s="2" t="inlineStr">
        <is>
          <t>F06 The Third Thing</t>
        </is>
      </c>
      <c r="D36" s="2" t="inlineStr">
        <is>
          <t>rejected_novelty</t>
        </is>
      </c>
      <c r="E36" s="2" t="inlineStr">
        <is>
          <t>2026-07-07</t>
        </is>
      </c>
      <c r="F36" s="2" t="inlineStr">
        <is>
          <t>embedding_cosine 0.86 vs RC_H_0705_4</t>
        </is>
      </c>
    </row>
    <row r="37">
      <c r="A37" s="2" t="inlineStr">
        <is>
          <t>BP_260707_94d8419b</t>
        </is>
      </c>
      <c r="B37" s="2" t="inlineStr">
        <is>
          <t>hard</t>
        </is>
      </c>
      <c r="C37" s="2" t="inlineStr">
        <is>
          <t>F07 The Vanishing Object</t>
        </is>
      </c>
      <c r="D37" s="2" t="inlineStr">
        <is>
          <t>rejected_novelty</t>
        </is>
      </c>
      <c r="E37" s="2" t="inlineStr">
        <is>
          <t>2026-07-07</t>
        </is>
      </c>
      <c r="F37" s="2" t="inlineStr">
        <is>
          <t>embedding_cosine 0.80 vs RC_E_0705_7</t>
        </is>
      </c>
    </row>
    <row r="38">
      <c r="A38" s="2" t="inlineStr">
        <is>
          <t>BP_260707_19783ecc</t>
        </is>
      </c>
      <c r="B38" s="2" t="inlineStr">
        <is>
          <t>elite</t>
        </is>
      </c>
      <c r="C38" s="2" t="inlineStr">
        <is>
          <t>F21 The Instrument Effect</t>
        </is>
      </c>
      <c r="D38" s="2" t="inlineStr">
        <is>
          <t>rejected_novelty</t>
        </is>
      </c>
      <c r="E38" s="2" t="inlineStr">
        <is>
          <t>2026-07-07</t>
        </is>
      </c>
      <c r="F38" s="2" t="inlineStr">
        <is>
          <t>curve_pearson 0.91 vs RC-ELITE-260706-0010; curve_pearson 0.97 vs RC-HARD-260706-0002</t>
        </is>
      </c>
    </row>
    <row r="39">
      <c r="A39" s="2" t="inlineStr">
        <is>
          <t>BP_260707_ea558856</t>
        </is>
      </c>
      <c r="B39" s="2" t="inlineStr">
        <is>
          <t>elite</t>
        </is>
      </c>
      <c r="C39" s="2" t="inlineStr">
        <is>
          <t>F16 The Silent Partner</t>
        </is>
      </c>
      <c r="D39" s="2" t="inlineStr">
        <is>
          <t>rejected_novelty</t>
        </is>
      </c>
      <c r="E39" s="2" t="inlineStr">
        <is>
          <t>2026-07-07</t>
        </is>
      </c>
      <c r="F39" s="2" t="inlineStr">
        <is>
          <t>curve_pearson 0.89 vs RC-MEDIUM-260707-0003; embedding_cosine 0.81 vs RC_H_0705_4</t>
        </is>
      </c>
    </row>
    <row r="40">
      <c r="A40" s="2" t="inlineStr">
        <is>
          <t>BP_260707_7658bac1</t>
        </is>
      </c>
      <c r="B40" s="2" t="inlineStr">
        <is>
          <t>elite</t>
        </is>
      </c>
      <c r="C40" s="2" t="inlineStr">
        <is>
          <t>F06 The Third Thing</t>
        </is>
      </c>
      <c r="D40" s="2" t="inlineStr">
        <is>
          <t>rejected_novelty</t>
        </is>
      </c>
      <c r="E40" s="2" t="inlineStr">
        <is>
          <t>2026-07-07</t>
        </is>
      </c>
      <c r="F40" s="2" t="inlineStr">
        <is>
          <t>curve_pearson 0.86 vs RC-MEDIUM-260707-0003; curve_pearson 0.99 vs RC-ELITE-260706-0010; embedding_cosine 0.87 vs RC_E_0705_7</t>
        </is>
      </c>
    </row>
    <row r="41">
      <c r="A41" s="2" t="inlineStr">
        <is>
          <t>BP_260707_71495730</t>
        </is>
      </c>
      <c r="B41" s="2" t="inlineStr">
        <is>
          <t>elite</t>
        </is>
      </c>
      <c r="C41" s="2" t="inlineStr">
        <is>
          <t>F13 The Category Refugee</t>
        </is>
      </c>
      <c r="D41" s="2" t="inlineStr">
        <is>
          <t>rejected_novelty</t>
        </is>
      </c>
      <c r="E41" s="2" t="inlineStr">
        <is>
          <t>2026-07-07</t>
        </is>
      </c>
      <c r="F41" s="2" t="inlineStr">
        <is>
          <t>curve_pearson 0.95 vs RC-HARD-260706-0002; embedding_cosine 0.81 vs RC_H_0705_1</t>
        </is>
      </c>
    </row>
    <row r="42">
      <c r="A42" s="2" t="inlineStr">
        <is>
          <t>BP_260707_6f770b6e</t>
        </is>
      </c>
      <c r="B42" s="2" t="inlineStr">
        <is>
          <t>elite</t>
        </is>
      </c>
      <c r="C42" s="2" t="inlineStr">
        <is>
          <t>F12 The Successful Failure</t>
        </is>
      </c>
      <c r="D42" s="2" t="inlineStr">
        <is>
          <t>rejected_novelty</t>
        </is>
      </c>
      <c r="E42" s="2" t="inlineStr">
        <is>
          <t>2026-07-07</t>
        </is>
      </c>
      <c r="F42" s="2" t="inlineStr">
        <is>
          <t>curve_pearson 0.98 vs RC-ELITE-260706-0010; curve_pearson 0.89 vs RC-HARD-260706-0002; rhythm_cosine 0.95 vs RC_E_0706_1</t>
        </is>
      </c>
    </row>
    <row r="43">
      <c r="A43" s="2" t="inlineStr">
        <is>
          <t>BP_260707_fb25369c</t>
        </is>
      </c>
      <c r="B43" s="2" t="inlineStr">
        <is>
          <t>elite</t>
        </is>
      </c>
      <c r="C43" s="2" t="inlineStr">
        <is>
          <t>F30 The Self-Application</t>
        </is>
      </c>
      <c r="D43" s="2" t="inlineStr">
        <is>
          <t>rejected_novelty</t>
        </is>
      </c>
      <c r="E43" s="2" t="inlineStr">
        <is>
          <t>2026-07-07</t>
        </is>
      </c>
      <c r="F43" s="2" t="inlineStr">
        <is>
          <t>curve_pearson 0.93 vs RC-ELITE-260706-0010; curve_pearson 0.92 vs RC-HARD-260706-0002; embedding_cosine 0.80 vs RC_H_0705_1</t>
        </is>
      </c>
    </row>
    <row r="44">
      <c r="A44" s="2" t="inlineStr">
        <is>
          <t>BP_260711_569bc506</t>
        </is>
      </c>
      <c r="B44" s="2" t="inlineStr">
        <is>
          <t>medium</t>
        </is>
      </c>
      <c r="C44" s="2" t="inlineStr">
        <is>
          <t>F11 The Asymmetry Hunt</t>
        </is>
      </c>
      <c r="D44" s="2" t="inlineStr">
        <is>
          <t>composed</t>
        </is>
      </c>
      <c r="E44" s="2" t="inlineStr">
        <is>
          <t>2026-07-11</t>
        </is>
      </c>
      <c r="F44" s="2" t="inlineStr">
        <is>
          <t>blueprint BP_260707_d578723a @ 0.94; blueprint BP_260707_ce691026 @ 0.94; blueprint BP_260707_35e6e949 @ 0.94</t>
        </is>
      </c>
    </row>
    <row r="45">
      <c r="A45" s="2" t="inlineStr">
        <is>
          <t>BP_260711_6c8463ba</t>
        </is>
      </c>
      <c r="B45" s="2" t="inlineStr">
        <is>
          <t>hard</t>
        </is>
      </c>
      <c r="C45" s="2" t="inlineStr">
        <is>
          <t>F29 The Moving Target</t>
        </is>
      </c>
      <c r="D45" s="2" t="inlineStr">
        <is>
          <t>composed</t>
        </is>
      </c>
      <c r="E45" s="2" t="inlineStr">
        <is>
          <t>2026-07-11</t>
        </is>
      </c>
      <c r="F45" s="2" t="inlineStr">
        <is>
          <t>blueprint BP_260707_d578723a @ 0.97; blueprint BP_260707_ce691026 @ 0.97; blueprint BP_260707_35e6e949 @ 0.97</t>
        </is>
      </c>
    </row>
    <row r="46">
      <c r="A46" s="2" t="inlineStr">
        <is>
          <t>BP_260711_44e07ac9</t>
        </is>
      </c>
      <c r="B46" s="2" t="inlineStr">
        <is>
          <t>elite</t>
        </is>
      </c>
      <c r="C46" s="2" t="inlineStr">
        <is>
          <t>F28 The Boring Truth</t>
        </is>
      </c>
      <c r="D46" s="2" t="inlineStr">
        <is>
          <t>composed</t>
        </is>
      </c>
      <c r="E46" s="2" t="inlineStr">
        <is>
          <t>2026-07-11</t>
        </is>
      </c>
      <c r="F46" s="2" t="inlineStr">
        <is>
          <t>blueprint BP_260706_c253ef7b @ 1.00; blueprint BP_260706_ed034e0c @ 0.91; blueprint BP_260707_0f6fcbfa @ 0.90</t>
        </is>
      </c>
    </row>
    <row r="47">
      <c r="A47" s="2" t="inlineStr">
        <is>
          <t>BP_260711_f953746d</t>
        </is>
      </c>
      <c r="B47" s="2" t="inlineStr">
        <is>
          <t>medium</t>
        </is>
      </c>
      <c r="C47" s="2" t="inlineStr">
        <is>
          <t>F24 The Hospitable Critic</t>
        </is>
      </c>
      <c r="D47" s="2" t="inlineStr">
        <is>
          <t>rejected_novelty</t>
        </is>
      </c>
      <c r="E47" s="2" t="inlineStr">
        <is>
          <t>2026-07-11</t>
        </is>
      </c>
      <c r="F47" s="2" t="inlineStr">
        <is>
          <t>persona_leak delta=0.89 vs RC-MEDIUM-260707-0003</t>
        </is>
      </c>
    </row>
    <row r="48">
      <c r="A48" s="2" t="inlineStr">
        <is>
          <t>BP_260711_6df4c165</t>
        </is>
      </c>
      <c r="B48" s="2" t="inlineStr">
        <is>
          <t>medium</t>
        </is>
      </c>
      <c r="C48" s="2" t="inlineStr">
        <is>
          <t>F09 The Time-Lag Argument</t>
        </is>
      </c>
      <c r="D48" s="2" t="inlineStr">
        <is>
          <t>rejected_novelty</t>
        </is>
      </c>
      <c r="E48" s="2" t="inlineStr">
        <is>
          <t>2026-07-11</t>
        </is>
      </c>
      <c r="F48" s="2" t="inlineStr">
        <is>
          <t>persona_leak delta=0.86 vs RC-MEDIUM-260707-0003</t>
        </is>
      </c>
    </row>
    <row r="49">
      <c r="A49" s="2" t="inlineStr">
        <is>
          <t>BP_260711_2d2f600a</t>
        </is>
      </c>
      <c r="B49" s="2" t="inlineStr">
        <is>
          <t>medium</t>
        </is>
      </c>
      <c r="C49" s="2" t="inlineStr">
        <is>
          <t>F10 The Practitioner's Rebuke</t>
        </is>
      </c>
      <c r="D49" s="2" t="inlineStr">
        <is>
          <t>rejected_novelty</t>
        </is>
      </c>
      <c r="E49" s="2" t="inlineStr">
        <is>
          <t>2026-07-11</t>
        </is>
      </c>
      <c r="F49" s="2" t="inlineStr">
        <is>
          <t>posture_run_disobedient: realized 'resolution_costed' matches 3/6 recent, blueprint planned 'refusal_suspended'</t>
        </is>
      </c>
    </row>
    <row r="50">
      <c r="A50" s="2" t="inlineStr">
        <is>
          <t>BP_260711_ce70d0c4</t>
        </is>
      </c>
      <c r="B50" s="2" t="inlineStr">
        <is>
          <t>hard</t>
        </is>
      </c>
      <c r="C50" s="2" t="inlineStr">
        <is>
          <t>F24 The Hospitable Critic</t>
        </is>
      </c>
      <c r="D50" s="2" t="inlineStr">
        <is>
          <t>rejected_novelty</t>
        </is>
      </c>
      <c r="E50" s="2" t="inlineStr">
        <is>
          <t>2026-07-11</t>
        </is>
      </c>
      <c r="F50" s="2" t="inlineStr">
        <is>
          <t>persona_leak delta=0.84 vs RC-MEDIUM-260707-0003</t>
        </is>
      </c>
    </row>
    <row r="51">
      <c r="A51" s="2" t="inlineStr">
        <is>
          <t>BP_260711_34974681</t>
        </is>
      </c>
      <c r="B51" s="2" t="inlineStr">
        <is>
          <t>hard</t>
        </is>
      </c>
      <c r="C51" s="2" t="inlineStr">
        <is>
          <t>F02 The Borrowed Lens</t>
        </is>
      </c>
      <c r="D51" s="2" t="inlineStr">
        <is>
          <t>rejected_budget</t>
        </is>
      </c>
      <c r="E51" s="2" t="inlineStr">
        <is>
          <t>2026-07-11</t>
        </is>
      </c>
      <c r="F51" s="2" t="inlineStr"/>
    </row>
    <row r="52">
      <c r="A52" s="2" t="inlineStr">
        <is>
          <t>BP_260711_1df25aa4</t>
        </is>
      </c>
      <c r="B52" s="2" t="inlineStr">
        <is>
          <t>elite</t>
        </is>
      </c>
      <c r="C52" s="2" t="inlineStr">
        <is>
          <t>F24 The Hospitable Critic</t>
        </is>
      </c>
      <c r="D52" s="2" t="inlineStr">
        <is>
          <t>rejected_novelty</t>
        </is>
      </c>
      <c r="E52" s="2" t="inlineStr">
        <is>
          <t>2026-07-11</t>
        </is>
      </c>
      <c r="F52" s="2" t="inlineStr">
        <is>
          <t>topology 0.83 vs RC_E_0706_1</t>
        </is>
      </c>
    </row>
    <row r="53">
      <c r="A53" s="2" t="inlineStr">
        <is>
          <t>BP_260711_516c8dfa</t>
        </is>
      </c>
      <c r="B53" s="2" t="inlineStr">
        <is>
          <t>medium</t>
        </is>
      </c>
      <c r="C53" s="2" t="inlineStr">
        <is>
          <t>F12 The Successful Failure</t>
        </is>
      </c>
      <c r="D53" s="2" t="inlineStr">
        <is>
          <t>rejected_novelty</t>
        </is>
      </c>
      <c r="E53" s="2" t="inlineStr">
        <is>
          <t>2026-07-11</t>
        </is>
      </c>
      <c r="F53" s="2" t="inlineStr">
        <is>
          <t>blueprint BP_260707_66bcd8a9 @ 0.96; blueprint BP_260711_6c8463ba @ 0.95; blueprint BP_260706_f22563d2 @ 0.95</t>
        </is>
      </c>
    </row>
    <row r="54">
      <c r="A54" s="2" t="inlineStr">
        <is>
          <t>BP_260711_79727c05</t>
        </is>
      </c>
      <c r="B54" s="2" t="inlineStr">
        <is>
          <t>medium</t>
        </is>
      </c>
      <c r="C54" s="2" t="inlineStr">
        <is>
          <t>F20 The Minority Report</t>
        </is>
      </c>
      <c r="D54" s="2" t="inlineStr">
        <is>
          <t>rejected_novelty</t>
        </is>
      </c>
      <c r="E54" s="2" t="inlineStr">
        <is>
          <t>2026-07-11</t>
        </is>
      </c>
      <c r="F54" s="2" t="inlineStr">
        <is>
          <t>blueprint BP_260706_1d69998f @ 0.81</t>
        </is>
      </c>
    </row>
    <row r="55">
      <c r="A55" s="2" t="inlineStr">
        <is>
          <t>BP_260711_52c09ae8</t>
        </is>
      </c>
      <c r="B55" s="2" t="inlineStr">
        <is>
          <t>hard</t>
        </is>
      </c>
      <c r="C55" s="2" t="inlineStr">
        <is>
          <t>F13 The Category Refugee</t>
        </is>
      </c>
      <c r="D55" s="2" t="inlineStr">
        <is>
          <t>rejected_novelty</t>
        </is>
      </c>
      <c r="E55" s="2" t="inlineStr">
        <is>
          <t>2026-07-11</t>
        </is>
      </c>
      <c r="F55" s="2" t="inlineStr">
        <is>
          <t>blueprint BP_260706_f22563d2 @ 0.95; blueprint BP_260706_a994c264 @ 0.95; blueprint BP_260706_64861678 @ 0.95</t>
        </is>
      </c>
    </row>
    <row r="56">
      <c r="A56" s="2" t="inlineStr">
        <is>
          <t>BP_260711_dd1da0fc</t>
        </is>
      </c>
      <c r="B56" s="2" t="inlineStr">
        <is>
          <t>hard</t>
        </is>
      </c>
      <c r="C56" s="2" t="inlineStr">
        <is>
          <t>F11 The Asymmetry Hunt</t>
        </is>
      </c>
      <c r="D56" s="2" t="inlineStr">
        <is>
          <t>rejected_novelty</t>
        </is>
      </c>
      <c r="E56" s="2" t="inlineStr">
        <is>
          <t>2026-07-11</t>
        </is>
      </c>
      <c r="F56" s="2" t="inlineStr">
        <is>
          <t>blueprint BP_260711_569bc506 @ 0.88; blueprint BP_260711_52c09ae8 @ 0.82; blueprint BP_260706_222c43ae @ 0.81</t>
        </is>
      </c>
    </row>
    <row r="57">
      <c r="A57" s="2" t="inlineStr">
        <is>
          <t>BP_260711_c0e58682</t>
        </is>
      </c>
      <c r="B57" s="2" t="inlineStr">
        <is>
          <t>elite</t>
        </is>
      </c>
      <c r="C57" s="2" t="inlineStr">
        <is>
          <t>F09 The Time-Lag Argument</t>
        </is>
      </c>
      <c r="D57" s="2" t="inlineStr">
        <is>
          <t>rejected_novelty</t>
        </is>
      </c>
      <c r="E57" s="2" t="inlineStr">
        <is>
          <t>2026-07-11</t>
        </is>
      </c>
      <c r="F57" s="2" t="inlineStr">
        <is>
          <t>blueprint BP_260706_f22563d2 @ 1.00; blueprint BP_260706_a994c264 @ 1.00; blueprint BP_260706_64861678 @ 0.98</t>
        </is>
      </c>
    </row>
    <row r="58">
      <c r="A58" s="2" t="inlineStr">
        <is>
          <t>BP_260711_adba8c6f</t>
        </is>
      </c>
      <c r="B58" s="2" t="inlineStr">
        <is>
          <t>elite</t>
        </is>
      </c>
      <c r="C58" s="2" t="inlineStr">
        <is>
          <t>F20 The Minority Report</t>
        </is>
      </c>
      <c r="D58" s="2" t="inlineStr">
        <is>
          <t>rejected_novelty</t>
        </is>
      </c>
      <c r="E58" s="2" t="inlineStr">
        <is>
          <t>2026-07-11</t>
        </is>
      </c>
      <c r="F58" s="2" t="inlineStr">
        <is>
          <t>blueprint BP_260711_79727c05 @ 0.93; blueprint BP_260711_dd1da0fc @ 0.86</t>
        </is>
      </c>
    </row>
    <row r="59">
      <c r="A59" s="2" t="inlineStr">
        <is>
          <t>BP_260711_46384fd5</t>
        </is>
      </c>
      <c r="B59" s="2" t="inlineStr">
        <is>
          <t>medium</t>
        </is>
      </c>
      <c r="C59" s="2" t="inlineStr">
        <is>
          <t>F15 The Diagnostic Reversal</t>
        </is>
      </c>
      <c r="D59" s="2" t="inlineStr">
        <is>
          <t>rejected_novelty</t>
        </is>
      </c>
      <c r="E59" s="2" t="inlineStr">
        <is>
          <t>2026-07-11</t>
        </is>
      </c>
      <c r="F59" s="2" t="inlineStr">
        <is>
          <t>persona_leak delta=0.89 vs RC-ELITE-260706-0006</t>
        </is>
      </c>
    </row>
    <row r="60">
      <c r="A60" s="2" t="inlineStr">
        <is>
          <t>BP_260711_2c919f11</t>
        </is>
      </c>
      <c r="B60" s="2" t="inlineStr">
        <is>
          <t>medium</t>
        </is>
      </c>
      <c r="C60" s="2" t="inlineStr">
        <is>
          <t>F28 The Boring Truth</t>
        </is>
      </c>
      <c r="D60" s="2" t="inlineStr">
        <is>
          <t>rejected_novelty</t>
        </is>
      </c>
      <c r="E60" s="2" t="inlineStr">
        <is>
          <t>2026-07-11</t>
        </is>
      </c>
      <c r="F60" s="2" t="inlineStr">
        <is>
          <t>blueprint BP_260707_f9be2e5f @ 0.84</t>
        </is>
      </c>
    </row>
    <row r="61">
      <c r="A61" s="2" t="inlineStr">
        <is>
          <t>BP_260711_33a37c7b</t>
        </is>
      </c>
      <c r="B61" s="2" t="inlineStr">
        <is>
          <t>hard</t>
        </is>
      </c>
      <c r="C61" s="2" t="inlineStr">
        <is>
          <t>F20 The Minority Report</t>
        </is>
      </c>
      <c r="D61" s="2" t="inlineStr">
        <is>
          <t>rejected_render</t>
        </is>
      </c>
      <c r="E61" s="2" t="inlineStr">
        <is>
          <t>2026-07-11</t>
        </is>
      </c>
      <c r="F61" s="2" t="inlineStr">
        <is>
          <t>persona_leak delta=0.90 vs RC-ELITE-260706-0010</t>
        </is>
      </c>
    </row>
    <row r="62">
      <c r="A62" s="2" t="inlineStr">
        <is>
          <t>BP_260712_bef9ad03</t>
        </is>
      </c>
      <c r="B62" s="2" t="inlineStr">
        <is>
          <t>hard</t>
        </is>
      </c>
      <c r="C62" s="2" t="inlineStr">
        <is>
          <t>F07 The Vanishing Object</t>
        </is>
      </c>
      <c r="D62" s="2" t="inlineStr">
        <is>
          <t>rejected_novelty</t>
        </is>
      </c>
      <c r="E62" s="2" t="inlineStr">
        <is>
          <t>2026-07-12</t>
        </is>
      </c>
      <c r="F62" s="2" t="inlineStr">
        <is>
          <t>blueprint BP_260711_dd1da0fc @ 0.93; blueprint BP_260711_adba8c6f @ 0.87; blueprint BP_260711_52c09ae8 @ 0.86</t>
        </is>
      </c>
    </row>
    <row r="63">
      <c r="A63" s="2" t="inlineStr">
        <is>
          <t>BP_260712_c1085fbd</t>
        </is>
      </c>
      <c r="B63" s="2" t="inlineStr">
        <is>
          <t>hard</t>
        </is>
      </c>
      <c r="C63" s="2" t="inlineStr">
        <is>
          <t>F15 The Diagnostic Reversal</t>
        </is>
      </c>
      <c r="D63" s="2" t="inlineStr">
        <is>
          <t>rejected_novelty</t>
        </is>
      </c>
      <c r="E63" s="2" t="inlineStr">
        <is>
          <t>2026-07-12</t>
        </is>
      </c>
      <c r="F63" s="2" t="inlineStr">
        <is>
          <t>blueprint BP_260712_bef9ad03 @ 0.94; blueprint BP_260711_dd1da0fc @ 0.93; blueprint BP_260711_adba8c6f @ 0.88</t>
        </is>
      </c>
    </row>
    <row r="64">
      <c r="A64" s="2" t="inlineStr">
        <is>
          <t>BP_260712_fb204f3e</t>
        </is>
      </c>
      <c r="B64" s="2" t="inlineStr">
        <is>
          <t>hard</t>
        </is>
      </c>
      <c r="C64" s="2" t="inlineStr">
        <is>
          <t>F07 The Vanishing Object</t>
        </is>
      </c>
      <c r="D64" s="2" t="inlineStr">
        <is>
          <t>rejected_novelty</t>
        </is>
      </c>
      <c r="E64" s="2" t="inlineStr">
        <is>
          <t>2026-07-12</t>
        </is>
      </c>
      <c r="F64" s="2" t="inlineStr">
        <is>
          <t>blueprint BP_260712_bef9ad03 @ 1.00; blueprint BP_260712_c1085fbd @ 0.94; blueprint BP_260711_dd1da0fc @ 0.93</t>
        </is>
      </c>
    </row>
    <row r="65">
      <c r="A65" s="2" t="inlineStr">
        <is>
          <t>BP_260712_64a9caa1</t>
        </is>
      </c>
      <c r="B65" s="2" t="inlineStr">
        <is>
          <t>elite</t>
        </is>
      </c>
      <c r="C65" s="2" t="inlineStr">
        <is>
          <t>F28 The Boring Truth</t>
        </is>
      </c>
      <c r="D65" s="2" t="inlineStr">
        <is>
          <t>rejected_novelty</t>
        </is>
      </c>
      <c r="E65" s="2" t="inlineStr">
        <is>
          <t>2026-07-12</t>
        </is>
      </c>
      <c r="F65" s="2" t="inlineStr">
        <is>
          <t>blueprint BP_260711_44e07ac9 @ 0.91; blueprint BP_260706_c253ef7b @ 0.91; blueprint BP_260712_fb204f3e @ 0.87</t>
        </is>
      </c>
    </row>
    <row r="66">
      <c r="A66" s="2" t="inlineStr">
        <is>
          <t>BP_260712_f38c3041</t>
        </is>
      </c>
      <c r="B66" s="2" t="inlineStr">
        <is>
          <t>elite</t>
        </is>
      </c>
      <c r="C66" s="2" t="inlineStr">
        <is>
          <t>F26 The Untranslatable</t>
        </is>
      </c>
      <c r="D66" s="2" t="inlineStr">
        <is>
          <t>rejected_novelty</t>
        </is>
      </c>
      <c r="E66" s="2" t="inlineStr">
        <is>
          <t>2026-07-12</t>
        </is>
      </c>
      <c r="F66" s="2" t="inlineStr">
        <is>
          <t>blueprint BP_260712_fb204f3e @ 0.95; blueprint BP_260712_bef9ad03 @ 0.95; blueprint BP_260712_c1085fbd @ 0.95</t>
        </is>
      </c>
    </row>
    <row r="67">
      <c r="A67" s="2" t="inlineStr">
        <is>
          <t>BP_260712_a82f8d91</t>
        </is>
      </c>
      <c r="B67" s="2" t="inlineStr">
        <is>
          <t>elite</t>
        </is>
      </c>
      <c r="C67" s="2" t="inlineStr">
        <is>
          <t>F09 The Time-Lag Argument</t>
        </is>
      </c>
      <c r="D67" s="2" t="inlineStr">
        <is>
          <t>rejected_novelty</t>
        </is>
      </c>
      <c r="E67" s="2" t="inlineStr">
        <is>
          <t>2026-07-12</t>
        </is>
      </c>
      <c r="F67" s="2" t="inlineStr">
        <is>
          <t>blueprint BP_260712_fb204f3e @ 0.98; blueprint BP_260712_bef9ad03 @ 0.98; blueprint BP_260712_f38c3041 @ 0.95</t>
        </is>
      </c>
    </row>
    <row r="68">
      <c r="A68" s="2" t="inlineStr">
        <is>
          <t>BP_260712_7abe25f8</t>
        </is>
      </c>
      <c r="B68" s="2" t="inlineStr">
        <is>
          <t>hard</t>
        </is>
      </c>
      <c r="C68" s="2" t="inlineStr">
        <is>
          <t>F24 The Hospitable Critic</t>
        </is>
      </c>
      <c r="D68" s="2" t="inlineStr">
        <is>
          <t>rejected_novelty</t>
        </is>
      </c>
      <c r="E68" s="2" t="inlineStr">
        <is>
          <t>2026-07-12</t>
        </is>
      </c>
      <c r="F68" s="2" t="inlineStr">
        <is>
          <t>movement_levenshtein 1.00 vs RC-ELITE-260711-0023; movement_bigram_jaccard 1.00 vs RC-ELITE-260711-0023</t>
        </is>
      </c>
    </row>
    <row r="69">
      <c r="A69" s="2" t="inlineStr">
        <is>
          <t>BP_260712_ca1a71a7</t>
        </is>
      </c>
      <c r="B69" s="2" t="inlineStr">
        <is>
          <t>hard</t>
        </is>
      </c>
      <c r="C69" s="2" t="inlineStr">
        <is>
          <t>F24 The Hospitable Critic</t>
        </is>
      </c>
      <c r="D69" s="2" t="inlineStr">
        <is>
          <t>rejected_novelty</t>
        </is>
      </c>
      <c r="E69" s="2" t="inlineStr">
        <is>
          <t>2026-07-12</t>
        </is>
      </c>
      <c r="F69" s="2" t="inlineStr">
        <is>
          <t>movement_levenshtein 1.00 vs RC-ELITE-260711-0023; movement_bigram_jaccard 1.00 vs RC-ELITE-260711-0023; persona_leak delta=0.90 vs RC-ELITE-260711-0023</t>
        </is>
      </c>
    </row>
    <row r="70">
      <c r="A70" s="2" t="inlineStr">
        <is>
          <t>BP_260712_f73d23de</t>
        </is>
      </c>
      <c r="B70" s="2" t="inlineStr">
        <is>
          <t>medium</t>
        </is>
      </c>
      <c r="C70" s="2" t="inlineStr">
        <is>
          <t>F28 The Boring Truth</t>
        </is>
      </c>
      <c r="D70" s="2" t="inlineStr">
        <is>
          <t>rejected_novelty</t>
        </is>
      </c>
      <c r="E70" s="2" t="inlineStr">
        <is>
          <t>2026-07-12</t>
        </is>
      </c>
      <c r="F70" s="2" t="inlineStr"/>
    </row>
    <row r="71">
      <c r="A71" s="2" t="inlineStr">
        <is>
          <t>BP_260712_ad83f450</t>
        </is>
      </c>
      <c r="B71" s="2" t="inlineStr">
        <is>
          <t>medium</t>
        </is>
      </c>
      <c r="C71" s="2" t="inlineStr">
        <is>
          <t>F24 The Hospitable Critic</t>
        </is>
      </c>
      <c r="D71" s="2" t="inlineStr">
        <is>
          <t>rejected_novelty</t>
        </is>
      </c>
      <c r="E71" s="2" t="inlineStr">
        <is>
          <t>2026-07-12</t>
        </is>
      </c>
      <c r="F71" s="2" t="inlineStr"/>
    </row>
    <row r="72">
      <c r="A72" s="2" t="inlineStr">
        <is>
          <t>BP_260712_d2f2a46f</t>
        </is>
      </c>
      <c r="B72" s="2" t="inlineStr">
        <is>
          <t>medium</t>
        </is>
      </c>
      <c r="C72" s="2" t="inlineStr">
        <is>
          <t>F24 The Hospitable Critic</t>
        </is>
      </c>
      <c r="D72" s="2" t="inlineStr">
        <is>
          <t>rejected_novelty</t>
        </is>
      </c>
      <c r="E72" s="2" t="inlineStr">
        <is>
          <t>2026-07-12</t>
        </is>
      </c>
      <c r="F72" s="2" t="inlineStr"/>
    </row>
  </sheetData>
  <autoFilter ref="A1:F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</cols>
  <sheetData>
    <row r="1">
      <c r="A1" s="6" t="inlineStr">
        <is>
          <t>RC Generation Summary</t>
        </is>
      </c>
    </row>
    <row r="3">
      <c r="A3" s="2" t="inlineStr">
        <is>
          <t>Total shipped RC sets</t>
        </is>
      </c>
      <c r="B3" s="7">
        <f>COUNTA('RC Sets'!A2:A19)</f>
        <v/>
      </c>
    </row>
    <row r="4">
      <c r="A4" s="2" t="inlineStr">
        <is>
          <t>Approved</t>
        </is>
      </c>
      <c r="B4" s="7">
        <f>COUNTIF('RC Sets'!C:C,"approved")</f>
        <v/>
      </c>
    </row>
    <row r="5">
      <c r="A5" s="2" t="inlineStr">
        <is>
          <t>Needs review</t>
        </is>
      </c>
      <c r="B5" s="7">
        <f>COUNTIF('RC Sets'!C:C,"needs_review")</f>
        <v/>
      </c>
    </row>
    <row r="6">
      <c r="A6" s="2" t="inlineStr">
        <is>
          <t>Solver dispute</t>
        </is>
      </c>
      <c r="B6" s="7">
        <f>COUNTIF('RC Sets'!C:C,"solver_dispute")</f>
        <v/>
      </c>
    </row>
    <row r="7">
      <c r="A7" s="2" t="inlineStr">
        <is>
          <t>Failed attempts (never shipped)</t>
        </is>
      </c>
      <c r="B7" s="7">
        <f>COUNTA('Failed Attempts'!A2:A72)</f>
        <v/>
      </c>
    </row>
    <row r="8">
      <c r="A8" s="2" t="inlineStr"/>
    </row>
    <row r="9">
      <c r="A9" s="2" t="inlineStr">
        <is>
          <t>Elite shipped</t>
        </is>
      </c>
      <c r="B9" s="7">
        <f>COUNTIF('RC Sets'!B:B,"elite")</f>
        <v/>
      </c>
    </row>
    <row r="10">
      <c r="A10" s="2" t="inlineStr">
        <is>
          <t>Hard shipped</t>
        </is>
      </c>
      <c r="B10" s="7">
        <f>COUNTIF('RC Sets'!B:B,"hard")</f>
        <v/>
      </c>
    </row>
    <row r="11">
      <c r="A11" s="2" t="inlineStr">
        <is>
          <t>Medium shipped</t>
        </is>
      </c>
      <c r="B11" s="7">
        <f>COUNTIF('RC Sets'!B:B,"medium")</f>
        <v/>
      </c>
    </row>
    <row r="12">
      <c r="A12" s="2" t="inlineStr"/>
    </row>
    <row r="13">
      <c r="A13" s="2" t="inlineStr">
        <is>
          <t>Total generation cost ($)</t>
        </is>
      </c>
      <c r="B13" s="8">
        <f>SUM('RC Sets'!G:G)</f>
        <v/>
      </c>
    </row>
    <row r="14">
      <c r="A14" s="2" t="inlineStr">
        <is>
          <t>Shared to institute</t>
        </is>
      </c>
      <c r="B14" s="7">
        <f>COUNTIF('RC Sets'!L:L,"Y")+COUNTIF('RC Sets'!L:L,"y")+COUNTIF('RC Sets'!L:L,"Yes")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2026-07-12T09:29:43Z</dcterms:created>
  <dcterms:modified xmlns:dcterms="http://purl.org/dc/terms/" xmlns:xsi="http://www.w3.org/2001/XMLSchema-instance" xsi:type="dcterms:W3CDTF">2026-07-12T09:29:43Z</dcterms:modified>
</cp:coreProperties>
</file>