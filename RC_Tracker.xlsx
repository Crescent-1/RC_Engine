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rescent1478-my.sharepoint.com/personal/cool_crescent1478_onmicrosoft_com/Documents/RC Gen Project/"/>
    </mc:Choice>
  </mc:AlternateContent>
  <xr:revisionPtr revIDLastSave="24" documentId="11_C77127856D7A73DA6F67C22573F394C6B07116E2" xr6:coauthVersionLast="47" xr6:coauthVersionMax="47" xr10:uidLastSave="{4979C87E-3533-4DBA-BF43-7CABABCB2292}"/>
  <bookViews>
    <workbookView xWindow="11424" yWindow="0" windowWidth="11712" windowHeight="13056" xr2:uid="{00000000-000D-0000-FFFF-FFFF00000000}"/>
  </bookViews>
  <sheets>
    <sheet name="RC Sets" sheetId="1" r:id="rId1"/>
    <sheet name="Failed Attempts" sheetId="2" r:id="rId2"/>
    <sheet name="Summary" sheetId="3" r:id="rId3"/>
  </sheets>
  <definedNames>
    <definedName name="_xlnm._FilterDatabase" localSheetId="1" hidden="1">'Failed Attempts'!$A$1:$F$18</definedName>
    <definedName name="_xlnm._FilterDatabase" localSheetId="0" hidden="1">'RC Sets'!$A$1:$F$12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1" i="3"/>
  <c r="B10" i="3"/>
  <c r="B9" i="3"/>
  <c r="B7" i="3"/>
  <c r="B6" i="3"/>
  <c r="B5" i="3"/>
  <c r="B4" i="3"/>
  <c r="B3" i="3"/>
</calcChain>
</file>

<file path=xl/sharedStrings.xml><?xml version="1.0" encoding="utf-8"?>
<sst xmlns="http://schemas.openxmlformats.org/spreadsheetml/2006/main" count="165" uniqueCount="87">
  <si>
    <t>RC_ID</t>
  </si>
  <si>
    <t>Tier</t>
  </si>
  <si>
    <t>Status</t>
  </si>
  <si>
    <t>Family</t>
  </si>
  <si>
    <t>Shared to Institute (Y/N)</t>
  </si>
  <si>
    <t>Shared On</t>
  </si>
  <si>
    <t>Remarks</t>
  </si>
  <si>
    <t>RC_E_0706_1</t>
  </si>
  <si>
    <t>elite</t>
  </si>
  <si>
    <t>approved</t>
  </si>
  <si>
    <t>2026-07-06</t>
  </si>
  <si>
    <t>RC-HARD-260706-0002</t>
  </si>
  <si>
    <t>hard</t>
  </si>
  <si>
    <t>needs_review</t>
  </si>
  <si>
    <t>RC-HARD-260706-0003</t>
  </si>
  <si>
    <t>RC-ELITE-260706-0005</t>
  </si>
  <si>
    <t>RC-ELITE-260706-0006</t>
  </si>
  <si>
    <t>RC-ELITE-260706-0010</t>
  </si>
  <si>
    <t>F27 The Simultaneity Problem</t>
  </si>
  <si>
    <t>RC-MEDIUM-260707-0003</t>
  </si>
  <si>
    <t>medium</t>
  </si>
  <si>
    <t>2026-07-07</t>
  </si>
  <si>
    <t>RC-ELITE-260707-0015</t>
  </si>
  <si>
    <t>Blueprint ID</t>
  </si>
  <si>
    <t>Date</t>
  </si>
  <si>
    <t>Rejection Reason (novelty audit)</t>
  </si>
  <si>
    <t>BP_260706_64861678</t>
  </si>
  <si>
    <t>F07 The Vanishing Object</t>
  </si>
  <si>
    <t>rejected_novelty</t>
  </si>
  <si>
    <t>embedding_cosine 0.81 vs RC_E_0705_7</t>
  </si>
  <si>
    <t>BP_260706_f22563d2</t>
  </si>
  <si>
    <t>F09 The Time-Lag Argument</t>
  </si>
  <si>
    <t>curve_pearson 0.92 vs RC-HARD-260706-0002; rhythm_cosine 0.93 vs RC_E_0705_3</t>
  </si>
  <si>
    <t>BP_260706_222c43ae</t>
  </si>
  <si>
    <t>curve_pearson 0.88 vs RC-HARD-260706-0002</t>
  </si>
  <si>
    <t>BP_260706_78cdbd8d</t>
  </si>
  <si>
    <t>F30 The Self-Application</t>
  </si>
  <si>
    <t>rhythm_cosine 0.97 vs RC-HARD-260706-0002; embedding_cosine 0.80 vs rc_3; embedding_cosine 0.80 vs RC_E_0705_3</t>
  </si>
  <si>
    <t>BP_260706_c253ef7b</t>
  </si>
  <si>
    <t>F28 The Boring Truth</t>
  </si>
  <si>
    <t>embedding_cosine 0.81 vs RC_E_0706_1</t>
  </si>
  <si>
    <t>BP_260706_ec7e4bcb</t>
  </si>
  <si>
    <t>F06 The Third Thing</t>
  </si>
  <si>
    <t>curve_pearson 0.86 vs RC-ELITE-260706-0006</t>
  </si>
  <si>
    <t>BP_260706_a994c264</t>
  </si>
  <si>
    <t>curve_pearson 1.00 vs RC-ELITE-260706-0006</t>
  </si>
  <si>
    <t>BP_260706_0ccbd61d</t>
  </si>
  <si>
    <t>F14 The Inheritance Dispute</t>
  </si>
  <si>
    <t>BP_260707_5f9eef80</t>
  </si>
  <si>
    <t>F15 The Diagnostic Reversal</t>
  </si>
  <si>
    <t>curve_pearson 0.92 vs RC-ELITE-260706-0005</t>
  </si>
  <si>
    <t>BP_260707_dd0fbef2</t>
  </si>
  <si>
    <t>F02 The Borrowed Lens</t>
  </si>
  <si>
    <t>curve_pearson 0.99 vs RC-ELITE-260706-0010; curve_pearson 0.89 vs RC-HARD-260706-0002</t>
  </si>
  <si>
    <t>BP_260707_8394e41c</t>
  </si>
  <si>
    <t>F11 The Asymmetry Hunt</t>
  </si>
  <si>
    <t>curve_pearson 0.98 vs RC-MEDIUM-260707-0003</t>
  </si>
  <si>
    <t>BP_260707_32f59437</t>
  </si>
  <si>
    <t>F20 The Minority Report</t>
  </si>
  <si>
    <t>curve_pearson 1.00 vs RC-ELITE-260706-0006; embedding_cosine 0.87 vs RC_E_0705_5</t>
  </si>
  <si>
    <t>BP_260707_f9be2e5f</t>
  </si>
  <si>
    <t>F12 The Successful Failure</t>
  </si>
  <si>
    <t>curve_pearson 0.92 vs RC-ELITE-260706-0010; curve_pearson 0.97 vs RC-HARD-260706-0002</t>
  </si>
  <si>
    <t>BP_260707_172f65e3</t>
  </si>
  <si>
    <t>F23 The Proxy War</t>
  </si>
  <si>
    <t>curve_pearson 0.90 vs RC-ELITE-260706-0010; curve_pearson 0.96 vs RC-HARD-260706-0002</t>
  </si>
  <si>
    <t>BP_260707_9fee80a8</t>
  </si>
  <si>
    <t>embedding_cosine 0.84 vs RC_E_0705_5</t>
  </si>
  <si>
    <t>BP_260707_c8f6e268</t>
  </si>
  <si>
    <t>curve_pearson 0.99 vs RC-ELITE-260706-0006; embedding_cosine 0.84 vs RC_E_0705_5</t>
  </si>
  <si>
    <t>BP_260707_ded70f5e</t>
  </si>
  <si>
    <t>F08 The Costed Victory</t>
  </si>
  <si>
    <t>RC Generation Summary</t>
  </si>
  <si>
    <t>Total shipped RC sets</t>
  </si>
  <si>
    <t>Approved</t>
  </si>
  <si>
    <t>Needs review</t>
  </si>
  <si>
    <t>Solver dispute</t>
  </si>
  <si>
    <t>Failed attempts (never shipped)</t>
  </si>
  <si>
    <t>Elite shipped</t>
  </si>
  <si>
    <t>Hard shipped</t>
  </si>
  <si>
    <t>Medium shipped</t>
  </si>
  <si>
    <t>Total generation cost ($)</t>
  </si>
  <si>
    <t>Shared to institute</t>
  </si>
  <si>
    <t>Y</t>
  </si>
  <si>
    <t>RC_E_0705_4.</t>
  </si>
  <si>
    <t>rc_elite_0005</t>
  </si>
  <si>
    <t>rc_medium_0003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</si>
</sst>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3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0" borderId="0" xfId="0" applyFont="1"/>
    <xf numFmtId="0" fontId="4" fillId="0" borderId="0" xfId="0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12"/>
  <sheetViews>
    <sheetView tabSelected="1" workbookViewId="0">
      <pane ySplit="1" topLeftCell="A3" activePane="bottomLeft" state="frozen"/>
      <selection pane="bottomLeft" activeCell="C23" sqref="C23"/>
    </sheetView>
  </sheetViews>
  <sheetFormatPr defaultRowHeight="14.4" x14ac:dyDescent="0.3"/>
  <cols>
    <col min="1" max="1" width="24" customWidth="1"/>
    <col min="2" max="2" width="8" customWidth="1"/>
    <col min="3" max="3" width="14" customWidth="1"/>
    <col min="4" max="4" width="20" customWidth="1"/>
    <col min="5" max="5" width="11" customWidth="1"/>
    <col min="6" max="6" width="28" customWidth="1"/>
  </cols>
  <sheetData>
    <row r="1" spans="1:6" ht="27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</row>
    <row r="2" spans="1:6" hidden="1" x14ac:dyDescent="0.3">
      <c r="A2" s="2" t="s">
        <v>7</v>
      </c>
      <c r="B2" s="2" t="s">
        <v>8</v>
      </c>
      <c r="C2" s="3" t="s">
        <v>9</v>
      </c>
      <c r="D2" s="2" t="s">
        <v>83</v>
      </c>
      <c r="E2" s="2"/>
      <c r="F2" s="2"/>
    </row>
    <row r="3" spans="1:6" x14ac:dyDescent="0.3">
      <c r="A3" s="2" t="s">
        <v>11</v>
      </c>
      <c r="B3" s="2" t="s">
        <v>12</v>
      </c>
      <c r="C3" s="4" t="s">
        <v>13</v>
      </c>
      <c r="D3" s="2" t="s">
        <v>83</v>
      </c>
      <c r="E3" s="2"/>
      <c r="F3" s="2"/>
    </row>
    <row r="4" spans="1:6" hidden="1" x14ac:dyDescent="0.3">
      <c r="A4" s="2" t="s">
        <v>14</v>
      </c>
      <c r="B4" s="2" t="s">
        <v>12</v>
      </c>
      <c r="C4" s="4" t="s">
        <v>13</v>
      </c>
      <c r="D4" s="2"/>
      <c r="E4" s="2"/>
      <c r="F4" s="2"/>
    </row>
    <row r="5" spans="1:6" hidden="1" x14ac:dyDescent="0.3">
      <c r="A5" s="2" t="s">
        <v>15</v>
      </c>
      <c r="B5" s="2" t="s">
        <v>8</v>
      </c>
      <c r="C5" s="4" t="s">
        <v>13</v>
      </c>
      <c r="D5" s="2"/>
      <c r="E5" s="2"/>
      <c r="F5" s="2"/>
    </row>
    <row r="6" spans="1:6" hidden="1" x14ac:dyDescent="0.3">
      <c r="A6" s="2" t="s">
        <v>16</v>
      </c>
      <c r="B6" s="2" t="s">
        <v>8</v>
      </c>
      <c r="C6" s="4" t="s">
        <v>13</v>
      </c>
      <c r="D6" s="2" t="s">
        <v>83</v>
      </c>
      <c r="E6" s="2"/>
      <c r="F6" s="2"/>
    </row>
    <row r="7" spans="1:6" hidden="1" x14ac:dyDescent="0.3">
      <c r="A7" s="2" t="s">
        <v>17</v>
      </c>
      <c r="B7" s="2" t="s">
        <v>8</v>
      </c>
      <c r="C7" s="4" t="s">
        <v>13</v>
      </c>
      <c r="D7" s="2"/>
      <c r="E7" s="2"/>
      <c r="F7" s="2"/>
    </row>
    <row r="8" spans="1:6" hidden="1" x14ac:dyDescent="0.3">
      <c r="A8" s="2" t="s">
        <v>19</v>
      </c>
      <c r="B8" s="2" t="s">
        <v>20</v>
      </c>
      <c r="C8" s="3" t="s">
        <v>9</v>
      </c>
      <c r="D8" s="2"/>
      <c r="E8" s="2"/>
      <c r="F8" s="2"/>
    </row>
    <row r="9" spans="1:6" hidden="1" x14ac:dyDescent="0.3">
      <c r="A9" s="2" t="s">
        <v>22</v>
      </c>
      <c r="B9" s="2" t="s">
        <v>8</v>
      </c>
      <c r="C9" s="4" t="s">
        <v>13</v>
      </c>
      <c r="D9" s="2" t="s">
        <v>83</v>
      </c>
      <c r="E9" s="2"/>
      <c r="F9" s="2"/>
    </row>
    <row r="10" spans="1:6" hidden="1" x14ac:dyDescent="0.3">
      <c r="A10" s="2" t="s">
        <v>84</v>
      </c>
      <c r="B10" s="2" t="s">
        <v>8</v>
      </c>
      <c r="C10" s="3" t="s">
        <v>9</v>
      </c>
      <c r="D10" t="s">
        <v>83</v>
      </c>
    </row>
    <row r="11" spans="1:6" hidden="1" x14ac:dyDescent="0.3">
      <c r="A11" s="2" t="s">
        <v>85</v>
      </c>
      <c r="B11" s="2" t="s">
        <v>8</v>
      </c>
      <c r="C11" s="3" t="s">
        <v>9</v>
      </c>
      <c r="D11" t="s">
        <v>83</v>
      </c>
    </row>
    <row r="12" spans="1:6" hidden="1" x14ac:dyDescent="0.3">
      <c r="A12" s="2" t="s">
        <v>86</v>
      </c>
      <c r="B12" s="2" t="s">
        <v>20</v>
      </c>
      <c r="C12" s="3" t="s">
        <v>9</v>
      </c>
      <c r="D12" t="s">
        <v>83</v>
      </c>
    </row>
  </sheetData>
  <autoFilter ref="A1:F12" xr:uid="{00000000-0009-0000-0000-000000000000}">
    <filterColumn colId="1">
      <filters>
        <filter val="hard"/>
      </filters>
    </filterColumn>
    <filterColumn colId="3">
      <customFilters>
        <customFilter operator="notEqual" val=" "/>
      </custom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8.77734375" bestFit="1" customWidth="1"/>
    <col min="3" max="3" width="28" customWidth="1"/>
    <col min="4" max="4" width="18" customWidth="1"/>
    <col min="5" max="5" width="12" customWidth="1"/>
    <col min="6" max="6" width="70" customWidth="1"/>
  </cols>
  <sheetData>
    <row r="1" spans="1:6" x14ac:dyDescent="0.3">
      <c r="A1" s="1" t="s">
        <v>23</v>
      </c>
      <c r="B1" s="1" t="s">
        <v>1</v>
      </c>
      <c r="C1" s="1" t="s">
        <v>3</v>
      </c>
      <c r="D1" s="1" t="s">
        <v>2</v>
      </c>
      <c r="E1" s="1" t="s">
        <v>24</v>
      </c>
      <c r="F1" s="1" t="s">
        <v>25</v>
      </c>
    </row>
    <row r="2" spans="1:6" x14ac:dyDescent="0.3">
      <c r="A2" s="2" t="s">
        <v>26</v>
      </c>
      <c r="B2" s="2" t="s">
        <v>12</v>
      </c>
      <c r="C2" s="2" t="s">
        <v>27</v>
      </c>
      <c r="D2" s="2" t="s">
        <v>28</v>
      </c>
      <c r="E2" s="2" t="s">
        <v>10</v>
      </c>
      <c r="F2" s="2" t="s">
        <v>29</v>
      </c>
    </row>
    <row r="3" spans="1:6" x14ac:dyDescent="0.3">
      <c r="A3" s="2" t="s">
        <v>30</v>
      </c>
      <c r="B3" s="2" t="s">
        <v>8</v>
      </c>
      <c r="C3" s="2" t="s">
        <v>31</v>
      </c>
      <c r="D3" s="2" t="s">
        <v>28</v>
      </c>
      <c r="E3" s="2" t="s">
        <v>10</v>
      </c>
      <c r="F3" s="2" t="s">
        <v>32</v>
      </c>
    </row>
    <row r="4" spans="1:6" x14ac:dyDescent="0.3">
      <c r="A4" s="2" t="s">
        <v>33</v>
      </c>
      <c r="B4" s="2" t="s">
        <v>8</v>
      </c>
      <c r="C4" s="2" t="s">
        <v>18</v>
      </c>
      <c r="D4" s="2" t="s">
        <v>28</v>
      </c>
      <c r="E4" s="2" t="s">
        <v>10</v>
      </c>
      <c r="F4" s="2" t="s">
        <v>34</v>
      </c>
    </row>
    <row r="5" spans="1:6" x14ac:dyDescent="0.3">
      <c r="A5" s="2" t="s">
        <v>35</v>
      </c>
      <c r="B5" s="2" t="s">
        <v>8</v>
      </c>
      <c r="C5" s="2" t="s">
        <v>36</v>
      </c>
      <c r="D5" s="2" t="s">
        <v>28</v>
      </c>
      <c r="E5" s="2" t="s">
        <v>10</v>
      </c>
      <c r="F5" s="2" t="s">
        <v>37</v>
      </c>
    </row>
    <row r="6" spans="1:6" x14ac:dyDescent="0.3">
      <c r="A6" s="2" t="s">
        <v>38</v>
      </c>
      <c r="B6" s="2" t="s">
        <v>8</v>
      </c>
      <c r="C6" s="2" t="s">
        <v>39</v>
      </c>
      <c r="D6" s="2" t="s">
        <v>28</v>
      </c>
      <c r="E6" s="2" t="s">
        <v>10</v>
      </c>
      <c r="F6" s="2" t="s">
        <v>40</v>
      </c>
    </row>
    <row r="7" spans="1:6" x14ac:dyDescent="0.3">
      <c r="A7" s="2" t="s">
        <v>41</v>
      </c>
      <c r="B7" s="2" t="s">
        <v>8</v>
      </c>
      <c r="C7" s="2" t="s">
        <v>42</v>
      </c>
      <c r="D7" s="2" t="s">
        <v>28</v>
      </c>
      <c r="E7" s="2" t="s">
        <v>10</v>
      </c>
      <c r="F7" s="2" t="s">
        <v>43</v>
      </c>
    </row>
    <row r="8" spans="1:6" x14ac:dyDescent="0.3">
      <c r="A8" s="2" t="s">
        <v>44</v>
      </c>
      <c r="B8" s="2" t="s">
        <v>8</v>
      </c>
      <c r="C8" s="2" t="s">
        <v>31</v>
      </c>
      <c r="D8" s="2" t="s">
        <v>28</v>
      </c>
      <c r="E8" s="2" t="s">
        <v>10</v>
      </c>
      <c r="F8" s="2" t="s">
        <v>45</v>
      </c>
    </row>
    <row r="9" spans="1:6" x14ac:dyDescent="0.3">
      <c r="A9" s="2" t="s">
        <v>46</v>
      </c>
      <c r="B9" s="2" t="s">
        <v>8</v>
      </c>
      <c r="C9" s="2" t="s">
        <v>47</v>
      </c>
      <c r="D9" s="2" t="s">
        <v>28</v>
      </c>
      <c r="E9" s="2" t="s">
        <v>10</v>
      </c>
      <c r="F9" s="2" t="s">
        <v>29</v>
      </c>
    </row>
    <row r="10" spans="1:6" x14ac:dyDescent="0.3">
      <c r="A10" s="2" t="s">
        <v>48</v>
      </c>
      <c r="B10" s="2" t="s">
        <v>20</v>
      </c>
      <c r="C10" s="2" t="s">
        <v>49</v>
      </c>
      <c r="D10" s="2" t="s">
        <v>28</v>
      </c>
      <c r="E10" s="2" t="s">
        <v>21</v>
      </c>
      <c r="F10" s="2" t="s">
        <v>50</v>
      </c>
    </row>
    <row r="11" spans="1:6" x14ac:dyDescent="0.3">
      <c r="A11" s="2" t="s">
        <v>51</v>
      </c>
      <c r="B11" s="2" t="s">
        <v>20</v>
      </c>
      <c r="C11" s="2" t="s">
        <v>52</v>
      </c>
      <c r="D11" s="2" t="s">
        <v>28</v>
      </c>
      <c r="E11" s="2" t="s">
        <v>21</v>
      </c>
      <c r="F11" s="2" t="s">
        <v>53</v>
      </c>
    </row>
    <row r="12" spans="1:6" x14ac:dyDescent="0.3">
      <c r="A12" s="2" t="s">
        <v>54</v>
      </c>
      <c r="B12" s="2" t="s">
        <v>20</v>
      </c>
      <c r="C12" s="2" t="s">
        <v>55</v>
      </c>
      <c r="D12" s="2" t="s">
        <v>28</v>
      </c>
      <c r="E12" s="2" t="s">
        <v>21</v>
      </c>
      <c r="F12" s="2" t="s">
        <v>56</v>
      </c>
    </row>
    <row r="13" spans="1:6" x14ac:dyDescent="0.3">
      <c r="A13" s="2" t="s">
        <v>57</v>
      </c>
      <c r="B13" s="2" t="s">
        <v>20</v>
      </c>
      <c r="C13" s="2" t="s">
        <v>58</v>
      </c>
      <c r="D13" s="2" t="s">
        <v>28</v>
      </c>
      <c r="E13" s="2" t="s">
        <v>21</v>
      </c>
      <c r="F13" s="2" t="s">
        <v>59</v>
      </c>
    </row>
    <row r="14" spans="1:6" x14ac:dyDescent="0.3">
      <c r="A14" s="2" t="s">
        <v>60</v>
      </c>
      <c r="B14" s="2" t="s">
        <v>20</v>
      </c>
      <c r="C14" s="2" t="s">
        <v>61</v>
      </c>
      <c r="D14" s="2" t="s">
        <v>28</v>
      </c>
      <c r="E14" s="2" t="s">
        <v>21</v>
      </c>
      <c r="F14" s="2" t="s">
        <v>62</v>
      </c>
    </row>
    <row r="15" spans="1:6" x14ac:dyDescent="0.3">
      <c r="A15" s="2" t="s">
        <v>63</v>
      </c>
      <c r="B15" s="2" t="s">
        <v>8</v>
      </c>
      <c r="C15" s="2" t="s">
        <v>64</v>
      </c>
      <c r="D15" s="2" t="s">
        <v>28</v>
      </c>
      <c r="E15" s="2" t="s">
        <v>21</v>
      </c>
      <c r="F15" s="2" t="s">
        <v>65</v>
      </c>
    </row>
    <row r="16" spans="1:6" x14ac:dyDescent="0.3">
      <c r="A16" s="2" t="s">
        <v>66</v>
      </c>
      <c r="B16" s="2" t="s">
        <v>8</v>
      </c>
      <c r="C16" s="2" t="s">
        <v>27</v>
      </c>
      <c r="D16" s="2" t="s">
        <v>28</v>
      </c>
      <c r="E16" s="2" t="s">
        <v>21</v>
      </c>
      <c r="F16" s="2" t="s">
        <v>67</v>
      </c>
    </row>
    <row r="17" spans="1:6" x14ac:dyDescent="0.3">
      <c r="A17" s="2" t="s">
        <v>68</v>
      </c>
      <c r="B17" s="2" t="s">
        <v>8</v>
      </c>
      <c r="C17" s="2" t="s">
        <v>31</v>
      </c>
      <c r="D17" s="2" t="s">
        <v>28</v>
      </c>
      <c r="E17" s="2" t="s">
        <v>21</v>
      </c>
      <c r="F17" s="2" t="s">
        <v>69</v>
      </c>
    </row>
    <row r="18" spans="1:6" x14ac:dyDescent="0.3">
      <c r="A18" s="2" t="s">
        <v>70</v>
      </c>
      <c r="B18" s="2" t="s">
        <v>8</v>
      </c>
      <c r="C18" s="2" t="s">
        <v>71</v>
      </c>
      <c r="D18" s="2" t="s">
        <v>28</v>
      </c>
      <c r="E18" s="2" t="s">
        <v>21</v>
      </c>
      <c r="F18" s="2" t="s">
        <v>67</v>
      </c>
    </row>
  </sheetData>
  <autoFilter ref="A1:F18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>
      <selection activeCell="B13" sqref="B13"/>
    </sheetView>
  </sheetViews>
  <sheetFormatPr defaultRowHeight="14.4" x14ac:dyDescent="0.3"/>
  <cols>
    <col min="1" max="1" width="32" customWidth="1"/>
    <col min="2" max="2" width="14" customWidth="1"/>
  </cols>
  <sheetData>
    <row r="1" spans="1:2" ht="16.8" x14ac:dyDescent="0.3">
      <c r="A1" s="5" t="s">
        <v>72</v>
      </c>
    </row>
    <row r="3" spans="1:2" x14ac:dyDescent="0.3">
      <c r="A3" s="2" t="s">
        <v>73</v>
      </c>
      <c r="B3" s="6">
        <f>COUNTA('RC Sets'!A2:A9)</f>
        <v>8</v>
      </c>
    </row>
    <row r="4" spans="1:2" x14ac:dyDescent="0.3">
      <c r="A4" s="2" t="s">
        <v>74</v>
      </c>
      <c r="B4" s="6">
        <f>COUNTIF('RC Sets'!C:C,"approved")</f>
        <v>5</v>
      </c>
    </row>
    <row r="5" spans="1:2" x14ac:dyDescent="0.3">
      <c r="A5" s="2" t="s">
        <v>75</v>
      </c>
      <c r="B5" s="6">
        <f>COUNTIF('RC Sets'!C:C,"needs_review")</f>
        <v>6</v>
      </c>
    </row>
    <row r="6" spans="1:2" x14ac:dyDescent="0.3">
      <c r="A6" s="2" t="s">
        <v>76</v>
      </c>
      <c r="B6" s="6">
        <f>COUNTIF('RC Sets'!C:C,"solver_dispute")</f>
        <v>0</v>
      </c>
    </row>
    <row r="7" spans="1:2" x14ac:dyDescent="0.3">
      <c r="A7" s="2" t="s">
        <v>77</v>
      </c>
      <c r="B7" s="6">
        <f>COUNTA('Failed Attempts'!A2:A18)</f>
        <v>17</v>
      </c>
    </row>
    <row r="8" spans="1:2" x14ac:dyDescent="0.3">
      <c r="A8" s="2"/>
    </row>
    <row r="9" spans="1:2" x14ac:dyDescent="0.3">
      <c r="A9" s="2" t="s">
        <v>78</v>
      </c>
      <c r="B9" s="6">
        <f>COUNTIF('RC Sets'!B:B,"elite")</f>
        <v>7</v>
      </c>
    </row>
    <row r="10" spans="1:2" x14ac:dyDescent="0.3">
      <c r="A10" s="2" t="s">
        <v>79</v>
      </c>
      <c r="B10" s="6">
        <f>COUNTIF('RC Sets'!B:B,"hard")</f>
        <v>2</v>
      </c>
    </row>
    <row r="11" spans="1:2" x14ac:dyDescent="0.3">
      <c r="A11" s="2" t="s">
        <v>80</v>
      </c>
      <c r="B11" s="6">
        <f>COUNTIF('RC Sets'!B:B,"medium")</f>
        <v>2</v>
      </c>
    </row>
    <row r="12" spans="1:2" x14ac:dyDescent="0.3">
      <c r="A12" s="2"/>
    </row>
    <row r="13" spans="1:2" x14ac:dyDescent="0.3">
      <c r="A13" s="2" t="s">
        <v>81</v>
      </c>
      <c r="B13" s="7" t="e">
        <f>SUM('RC Sets'!#REF!)</f>
        <v>#REF!</v>
      </c>
    </row>
    <row r="14" spans="1:2" x14ac:dyDescent="0.3">
      <c r="A14" s="2" t="s">
        <v>82</v>
      </c>
      <c r="B14" s="6">
        <f>COUNTIF('RC Sets'!D:D,"Y")+COUNTIF('RC Sets'!D:D,"y")+COUNTIF('RC Sets'!D:D,"Yes")</f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 Sets</vt:lpstr>
      <vt:lpstr>Failed Attempts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Ansh Upadhyay</cp:lastModifiedBy>
  <dcterms:created xsi:type="dcterms:W3CDTF">2026-07-07T04:27:42Z</dcterms:created>
  <dcterms:modified xsi:type="dcterms:W3CDTF">2026-07-07T08:34:16Z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2026-07-07T04:30:12Z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6b8b16eb-f8c2-4347-821b-91df76ccc8ea</vt:lpwstr>
  </property>
  <property fmtid="{D5CDD505-2E9C-101B-9397-08002B2CF9AE}" pid="7" name="MSIP_Label_defa4170-0d19-0005-0004-bc88714345d2_ActionId">
    <vt:lpwstr>465b8abd-0b75-4707-950b-41838f469be1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