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crescent1478-my.sharepoint.com/personal/cool_crescent1478_onmicrosoft_com/Documents/RC Gen Project/"/>
    </mc:Choice>
  </mc:AlternateContent>
  <xr:revisionPtr revIDLastSave="2" documentId="11_EB55996F1901370B6A025D77F13083DCB17096F3" xr6:coauthVersionLast="47" xr6:coauthVersionMax="47" xr10:uidLastSave="{E3250F09-7A22-4FE6-B62B-F85727E51311}"/>
  <bookViews>
    <workbookView xWindow="-108" yWindow="-108" windowWidth="23256" windowHeight="13176" activeTab="2" xr2:uid="{00000000-000D-0000-FFFF-FFFF00000000}"/>
  </bookViews>
  <sheets>
    <sheet name="RC Sets" sheetId="1" r:id="rId1"/>
    <sheet name="Failed Attempts" sheetId="2" r:id="rId2"/>
    <sheet name="Summary" sheetId="3" r:id="rId3"/>
  </sheets>
  <definedNames>
    <definedName name="_xlnm._FilterDatabase" localSheetId="1" hidden="1">'Failed Attempts'!$A$1:$F$80</definedName>
    <definedName name="_xlnm._FilterDatabase" localSheetId="0" hidden="1">'RC Sets'!$A$1:$N$23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3" l="1"/>
  <c r="B13" i="3"/>
  <c r="B11" i="3"/>
  <c r="B10" i="3"/>
  <c r="B9" i="3"/>
  <c r="B7" i="3"/>
  <c r="B6" i="3"/>
  <c r="B5" i="3"/>
  <c r="B4" i="3"/>
  <c r="B3" i="3"/>
</calcChain>
</file>

<file path=xl/sharedStrings.xml><?xml version="1.0" encoding="utf-8"?>
<sst xmlns="http://schemas.openxmlformats.org/spreadsheetml/2006/main" count="644" uniqueCount="263">
  <si>
    <t>RC_ID</t>
  </si>
  <si>
    <t>Tier</t>
  </si>
  <si>
    <t>Status</t>
  </si>
  <si>
    <t>Judge Score</t>
  </si>
  <si>
    <t>Compliance F1</t>
  </si>
  <si>
    <t>Novelty</t>
  </si>
  <si>
    <t>Cost ($)</t>
  </si>
  <si>
    <t>Generated On</t>
  </si>
  <si>
    <t>Family</t>
  </si>
  <si>
    <t>Closing Posture</t>
  </si>
  <si>
    <t>Topic</t>
  </si>
  <si>
    <t>Shared to Institute (Y/N)</t>
  </si>
  <si>
    <t>Shared On</t>
  </si>
  <si>
    <t>Remarks</t>
  </si>
  <si>
    <t>RC_E_0706_1</t>
  </si>
  <si>
    <t>elite</t>
  </si>
  <si>
    <t>approved</t>
  </si>
  <si>
    <t>2026-07-06</t>
  </si>
  <si>
    <t>F25 The Ecology</t>
  </si>
  <si>
    <t>refusal_suspended</t>
  </si>
  <si>
    <t>a live conceptual tension in philosophy of science and epistemology</t>
  </si>
  <si>
    <t>RC-HARD-260706-0002</t>
  </si>
  <si>
    <t>hard</t>
  </si>
  <si>
    <t>F01 The Autopsy</t>
  </si>
  <si>
    <t>reframe_displace</t>
  </si>
  <si>
    <t>a live conceptual tension in Aeon</t>
  </si>
  <si>
    <t>RC-HARD-260706-0003</t>
  </si>
  <si>
    <t>F17 The Half-Life</t>
  </si>
  <si>
    <t>resolution_qualified</t>
  </si>
  <si>
    <t>RC-ELITE-260706-0005</t>
  </si>
  <si>
    <t>needs_review</t>
  </si>
  <si>
    <t>F18 The Double Bind</t>
  </si>
  <si>
    <t>Should river cities dismantle historic floodwalls to restore urban wetlands, even though the walls protect the poorest riverside neighborhoods from flooding now?</t>
  </si>
  <si>
    <t>RC-ELITE-260706-0006</t>
  </si>
  <si>
    <t>F03 The Scale Shift</t>
  </si>
  <si>
    <t>RC-ELITE-260706-0010</t>
  </si>
  <si>
    <t>F27 The Simultaneity Problem</t>
  </si>
  <si>
    <t>Whether writing and the rise of legal codes in early states caused each other rather than one causing the other</t>
  </si>
  <si>
    <t>RC-MEDIUM-260707-0003</t>
  </si>
  <si>
    <t>medium</t>
  </si>
  <si>
    <t>2026-07-07</t>
  </si>
  <si>
    <t>F31 The Load-Bearing Anecdote</t>
  </si>
  <si>
    <t>Whether moral cultivation can justify inequality, or whether the belief in self-transformation obscures structural advantage</t>
  </si>
  <si>
    <t>RC-ELITE-260707-0015</t>
  </si>
  <si>
    <t>F05 The Reluctant Conversion</t>
  </si>
  <si>
    <t>resolution_costed</t>
  </si>
  <si>
    <t>Whether translation between languages is fundamentally a creative act or a mechanical one, and what changes when we admit it is creative</t>
  </si>
  <si>
    <t>RC-ELITE-260707-0022</t>
  </si>
  <si>
    <t>F21 The Instrument Effect</t>
  </si>
  <si>
    <t>How the psychiatric concept of 'trauma' has come to constitute the very experiences it was invented to measure</t>
  </si>
  <si>
    <t>RC-ELITE-260711-0023</t>
  </si>
  <si>
    <t>rejected_novelty</t>
  </si>
  <si>
    <t>2026-07-11</t>
  </si>
  <si>
    <t>F24 The Hospitable Critic</t>
  </si>
  <si>
    <t>A hospitable review of the 'commons' revival in economics — Elinor Ostrom's institutional analysis of shared resources, and the fatal question of what happens when a commons must scale beyond a face-to-face community</t>
  </si>
  <si>
    <t>RC-ELITE-260711-0024</t>
  </si>
  <si>
    <t>F08 The Costed Victory</t>
  </si>
  <si>
    <t>Whether the concept of 'sportsmanship' can survive the professionalization of officiating technology (VAR, Hawk-Eye, goal-line sensors) in elite sport</t>
  </si>
  <si>
    <t>RC-ELITE-260711-0025</t>
  </si>
  <si>
    <t>F13 The Category Refugee</t>
  </si>
  <si>
    <t>The unclassifiable status of the 'volunteer plant' — a self-sown crop that appears uninvited in agricultural fields, and what it reveals about the logic of taxonomic systems built for intention</t>
  </si>
  <si>
    <t>RC-HARD-260712-0009</t>
  </si>
  <si>
    <t>2026-07-12</t>
  </si>
  <si>
    <t>F14 The Inheritance Dispute</t>
  </si>
  <si>
    <t>refusal_dissolved</t>
  </si>
  <si>
    <t>The rival claims of statistics and epidemiology to have 'invented' the concept of the randomized controlled trial</t>
  </si>
  <si>
    <t>RC-ELITE-260712-0028</t>
  </si>
  <si>
    <t>F23 The Proxy War</t>
  </si>
  <si>
    <t>A dispute among orchestras over whether musicians should be permitted to retune their instruments mid-performance, and what it reveals about competing theories of what a musical work actually is</t>
  </si>
  <si>
    <t>RC-HARD-260712-0010</t>
  </si>
  <si>
    <t>F32 The Coalition of Errors</t>
  </si>
  <si>
    <t>Why the widely accepted claim that 'grit' predicts long-term success survives despite the collapse of its standard evidentiary defenses</t>
  </si>
  <si>
    <t>RC-HARD-260712-0013</t>
  </si>
  <si>
    <t>F10 The Practitioner's Rebuke</t>
  </si>
  <si>
    <t>The clash between decision-theoretic models of triage and what emergency-room nurses actually do when allocating scarce beds</t>
  </si>
  <si>
    <t>RC-ELITE-260712-0029</t>
  </si>
  <si>
    <t>F02 The Borrowed Lens</t>
  </si>
  <si>
    <t>Applying signal-detection theory (a framework built for radar and sonar operators) to how forensic fingerprint examiners decide whether two prints 'match' — and what gets lost when a courtroom judgment is treated as a detection problem</t>
  </si>
  <si>
    <t>RC-MEDIUM-260712-0020</t>
  </si>
  <si>
    <t>F20 The Minority Report</t>
  </si>
  <si>
    <t>Why the mid-century ergonomic case for designing workspaces around the average human body was intellectually coherent, and what understanding of labour we lost when individual variation reclaimed the design agenda.</t>
  </si>
  <si>
    <t>RC-HARD-260726-0015</t>
  </si>
  <si>
    <t>2026-07-26</t>
  </si>
  <si>
    <t>F06 The Third Thing</t>
  </si>
  <si>
    <t>Why two rival explanations for the decline of amateur choral singing in cities — 'busyness' versus 'atomization' — both smuggle the same unexamined idea of what singing together was ever for</t>
  </si>
  <si>
    <t>RC-ELITE-260726-0030</t>
  </si>
  <si>
    <t>F19 The Wrong Question</t>
  </si>
  <si>
    <t>Why did ancient tree-ring records of long-dead volcanic eruptions become a crisis for the standard chronology of the Bronze Age Mediterranean, and what does the argument over 'radiocarbon plateaus' really reveal about historical time itself?</t>
  </si>
  <si>
    <t>RC-HARD-260726-0019</t>
  </si>
  <si>
    <t>F22 The Threshold Argument</t>
  </si>
  <si>
    <t>The gradual replacement of paper municipal records with digital archives, and whether there is a point at which a town's memory of itself stops being a record and becomes a reconstruction</t>
  </si>
  <si>
    <t>RC-ELITE-260726-0032</t>
  </si>
  <si>
    <t>F29 The Moving Target</t>
  </si>
  <si>
    <t>The critique of advertising's manipulation of desire — from Vance Packard's 'hidden persuaders' to today's algorithmic feeds — and whether the critique's own success has hollowed out its target</t>
  </si>
  <si>
    <t>Blueprint ID</t>
  </si>
  <si>
    <t>Date</t>
  </si>
  <si>
    <t>Rejection Reason (novelty audit)</t>
  </si>
  <si>
    <t>BP_260706_64861678</t>
  </si>
  <si>
    <t>F07 The Vanishing Object</t>
  </si>
  <si>
    <t>embedding_cosine 0.81 vs RC_E_0705_7</t>
  </si>
  <si>
    <t>BP_260706_f22563d2</t>
  </si>
  <si>
    <t>F09 The Time-Lag Argument</t>
  </si>
  <si>
    <t>curve_pearson 0.92 vs RC-HARD-260706-0002; rhythm_cosine 0.93 vs RC_E_0705_3</t>
  </si>
  <si>
    <t>BP_260706_222c43ae</t>
  </si>
  <si>
    <t>curve_pearson 0.88 vs RC-HARD-260706-0002</t>
  </si>
  <si>
    <t>BP_260706_78cdbd8d</t>
  </si>
  <si>
    <t>F30 The Self-Application</t>
  </si>
  <si>
    <t>rhythm_cosine 0.97 vs RC-HARD-260706-0002; embedding_cosine 0.80 vs rc_3; embedding_cosine 0.80 vs RC_E_0705_3</t>
  </si>
  <si>
    <t>BP_260706_c253ef7b</t>
  </si>
  <si>
    <t>F28 The Boring Truth</t>
  </si>
  <si>
    <t>embedding_cosine 0.81 vs RC_E_0706_1</t>
  </si>
  <si>
    <t>BP_260706_ec7e4bcb</t>
  </si>
  <si>
    <t>curve_pearson 0.86 vs RC-ELITE-260706-0006</t>
  </si>
  <si>
    <t>BP_260706_a994c264</t>
  </si>
  <si>
    <t>curve_pearson 1.00 vs RC-ELITE-260706-0006</t>
  </si>
  <si>
    <t>BP_260706_0ccbd61d</t>
  </si>
  <si>
    <t>BP_260707_5f9eef80</t>
  </si>
  <si>
    <t>F15 The Diagnostic Reversal</t>
  </si>
  <si>
    <t>curve_pearson 0.92 vs RC-ELITE-260706-0005</t>
  </si>
  <si>
    <t>BP_260707_dd0fbef2</t>
  </si>
  <si>
    <t>curve_pearson 0.99 vs RC-ELITE-260706-0010; curve_pearson 0.89 vs RC-HARD-260706-0002</t>
  </si>
  <si>
    <t>BP_260707_8394e41c</t>
  </si>
  <si>
    <t>F11 The Asymmetry Hunt</t>
  </si>
  <si>
    <t>curve_pearson 0.98 vs RC-MEDIUM-260707-0003</t>
  </si>
  <si>
    <t>BP_260707_32f59437</t>
  </si>
  <si>
    <t>curve_pearson 1.00 vs RC-ELITE-260706-0006; embedding_cosine 0.87 vs RC_E_0705_5</t>
  </si>
  <si>
    <t>BP_260707_f9be2e5f</t>
  </si>
  <si>
    <t>F12 The Successful Failure</t>
  </si>
  <si>
    <t>curve_pearson 0.92 vs RC-ELITE-260706-0010; curve_pearson 0.97 vs RC-HARD-260706-0002</t>
  </si>
  <si>
    <t>BP_260707_172f65e3</t>
  </si>
  <si>
    <t>curve_pearson 0.90 vs RC-ELITE-260706-0010; curve_pearson 0.96 vs RC-HARD-260706-0002</t>
  </si>
  <si>
    <t>BP_260707_9fee80a8</t>
  </si>
  <si>
    <t>embedding_cosine 0.84 vs RC_E_0705_5</t>
  </si>
  <si>
    <t>BP_260707_c8f6e268</t>
  </si>
  <si>
    <t>curve_pearson 0.99 vs RC-ELITE-260706-0006; embedding_cosine 0.84 vs RC_E_0705_5</t>
  </si>
  <si>
    <t>BP_260707_ded70f5e</t>
  </si>
  <si>
    <t>BP_260707_06ed637a</t>
  </si>
  <si>
    <t>curve_pearson 0.88 vs RC-ELITE-260706-0005; embedding_cosine 0.81 vs rc_1; embedding_cosine 0.81 vs RC_E_0705_3</t>
  </si>
  <si>
    <t>BP_260707_3a9d36f5</t>
  </si>
  <si>
    <t>embedding_cosine 0.80 vs RC_E_0705_7</t>
  </si>
  <si>
    <t>BP_260707_903e0762</t>
  </si>
  <si>
    <t>rejected_questions</t>
  </si>
  <si>
    <t>BP_260707_21e98e22</t>
  </si>
  <si>
    <t>curve_pearson 0.88 vs RC-MEDIUM-260707-0003; embedding_cosine 0.80 vs rc_5</t>
  </si>
  <si>
    <t>BP_260707_6d3d6d72</t>
  </si>
  <si>
    <t>embedding_cosine 0.82 vs RC_H_0705_4</t>
  </si>
  <si>
    <t>BP_260707_1508e0c7</t>
  </si>
  <si>
    <t>composed</t>
  </si>
  <si>
    <t>BP_260707_0f6fcbfa</t>
  </si>
  <si>
    <t>BP_260707_66bcd8a9</t>
  </si>
  <si>
    <t>BP_260707_35e6e949</t>
  </si>
  <si>
    <t>BP_260707_d578723a</t>
  </si>
  <si>
    <t>BP_260707_ce691026</t>
  </si>
  <si>
    <t>BP_260707_0c7b027c</t>
  </si>
  <si>
    <t>curve_pearson 0.94 vs RC-ELITE-260707-0015; embedding_cosine 0.80 vs RC_E_0705_3</t>
  </si>
  <si>
    <t>BP_260707_1b7a8b01</t>
  </si>
  <si>
    <t>curve_pearson 0.99 vs RC-ELITE-260706-0010; curve_pearson 0.86 vs RC-HARD-260706-0002</t>
  </si>
  <si>
    <t>BP_260707_694b2f8e</t>
  </si>
  <si>
    <t>curve_pearson 0.96 vs RC-ELITE-260706-0010; curve_pearson 0.94 vs RC-HARD-260706-0002</t>
  </si>
  <si>
    <t>BP_260707_d2f65db8</t>
  </si>
  <si>
    <t>curve_pearson 0.94 vs RC-ELITE-260706-0010; curve_pearson 0.96 vs RC-HARD-260706-0002</t>
  </si>
  <si>
    <t>BP_260707_0d92f551</t>
  </si>
  <si>
    <t>BP_260707_17f4e54e</t>
  </si>
  <si>
    <t>embedding_cosine 0.81 vs RC_E_0705_5</t>
  </si>
  <si>
    <t>BP_260707_dffc9627</t>
  </si>
  <si>
    <t>embedding_cosine 0.86 vs RC_H_0705_4</t>
  </si>
  <si>
    <t>BP_260707_94d8419b</t>
  </si>
  <si>
    <t>BP_260707_19783ecc</t>
  </si>
  <si>
    <t>curve_pearson 0.91 vs RC-ELITE-260706-0010; curve_pearson 0.97 vs RC-HARD-260706-0002</t>
  </si>
  <si>
    <t>BP_260707_ea558856</t>
  </si>
  <si>
    <t>F16 The Silent Partner</t>
  </si>
  <si>
    <t>curve_pearson 0.89 vs RC-MEDIUM-260707-0003; embedding_cosine 0.81 vs RC_H_0705_4</t>
  </si>
  <si>
    <t>BP_260707_7658bac1</t>
  </si>
  <si>
    <t>curve_pearson 0.86 vs RC-MEDIUM-260707-0003; curve_pearson 0.99 vs RC-ELITE-260706-0010; embedding_cosine 0.87 vs RC_E_0705_7</t>
  </si>
  <si>
    <t>BP_260707_71495730</t>
  </si>
  <si>
    <t>curve_pearson 0.95 vs RC-HARD-260706-0002; embedding_cosine 0.81 vs RC_H_0705_1</t>
  </si>
  <si>
    <t>BP_260707_6f770b6e</t>
  </si>
  <si>
    <t>curve_pearson 0.98 vs RC-ELITE-260706-0010; curve_pearson 0.89 vs RC-HARD-260706-0002; rhythm_cosine 0.95 vs RC_E_0706_1</t>
  </si>
  <si>
    <t>BP_260707_fb25369c</t>
  </si>
  <si>
    <t>curve_pearson 0.93 vs RC-ELITE-260706-0010; curve_pearson 0.92 vs RC-HARD-260706-0002; embedding_cosine 0.80 vs RC_H_0705_1</t>
  </si>
  <si>
    <t>BP_260711_569bc506</t>
  </si>
  <si>
    <t>blueprint BP_260707_d578723a @ 0.94; blueprint BP_260707_ce691026 @ 0.94; blueprint BP_260707_35e6e949 @ 0.94</t>
  </si>
  <si>
    <t>BP_260711_6c8463ba</t>
  </si>
  <si>
    <t>blueprint BP_260707_d578723a @ 0.97; blueprint BP_260707_ce691026 @ 0.97; blueprint BP_260707_35e6e949 @ 0.97</t>
  </si>
  <si>
    <t>BP_260711_44e07ac9</t>
  </si>
  <si>
    <t>blueprint BP_260706_c253ef7b @ 1.00; blueprint BP_260706_ed034e0c @ 0.91; blueprint BP_260707_0f6fcbfa @ 0.90</t>
  </si>
  <si>
    <t>BP_260711_f953746d</t>
  </si>
  <si>
    <t>persona_leak delta=0.89 vs RC-MEDIUM-260707-0003</t>
  </si>
  <si>
    <t>BP_260711_6df4c165</t>
  </si>
  <si>
    <t>persona_leak delta=0.86 vs RC-MEDIUM-260707-0003</t>
  </si>
  <si>
    <t>BP_260711_2d2f600a</t>
  </si>
  <si>
    <t>posture_run_disobedient: realized 'resolution_costed' matches 3/6 recent, blueprint planned 'refusal_suspended'</t>
  </si>
  <si>
    <t>BP_260711_ce70d0c4</t>
  </si>
  <si>
    <t>persona_leak delta=0.84 vs RC-MEDIUM-260707-0003</t>
  </si>
  <si>
    <t>BP_260711_34974681</t>
  </si>
  <si>
    <t>rejected_budget</t>
  </si>
  <si>
    <t>BP_260711_1df25aa4</t>
  </si>
  <si>
    <t>topology 0.83 vs RC_E_0706_1</t>
  </si>
  <si>
    <t>BP_260711_516c8dfa</t>
  </si>
  <si>
    <t>blueprint BP_260707_66bcd8a9 @ 0.96; blueprint BP_260711_6c8463ba @ 0.95; blueprint BP_260706_f22563d2 @ 0.95</t>
  </si>
  <si>
    <t>BP_260711_79727c05</t>
  </si>
  <si>
    <t>blueprint BP_260706_1d69998f @ 0.81</t>
  </si>
  <si>
    <t>BP_260711_52c09ae8</t>
  </si>
  <si>
    <t>blueprint BP_260706_f22563d2 @ 0.95; blueprint BP_260706_a994c264 @ 0.95; blueprint BP_260706_64861678 @ 0.95</t>
  </si>
  <si>
    <t>BP_260711_dd1da0fc</t>
  </si>
  <si>
    <t>blueprint BP_260711_569bc506 @ 0.88; blueprint BP_260711_52c09ae8 @ 0.82; blueprint BP_260706_222c43ae @ 0.81</t>
  </si>
  <si>
    <t>BP_260711_c0e58682</t>
  </si>
  <si>
    <t>blueprint BP_260706_f22563d2 @ 1.00; blueprint BP_260706_a994c264 @ 1.00; blueprint BP_260706_64861678 @ 0.98</t>
  </si>
  <si>
    <t>BP_260711_adba8c6f</t>
  </si>
  <si>
    <t>blueprint BP_260711_79727c05 @ 0.93; blueprint BP_260711_dd1da0fc @ 0.86</t>
  </si>
  <si>
    <t>BP_260711_46384fd5</t>
  </si>
  <si>
    <t>persona_leak delta=0.89 vs RC-ELITE-260706-0006</t>
  </si>
  <si>
    <t>BP_260711_2c919f11</t>
  </si>
  <si>
    <t>blueprint BP_260707_f9be2e5f @ 0.84</t>
  </si>
  <si>
    <t>BP_260711_33a37c7b</t>
  </si>
  <si>
    <t>rejected_render</t>
  </si>
  <si>
    <t>persona_leak delta=0.90 vs RC-ELITE-260706-0010</t>
  </si>
  <si>
    <t>BP_260712_bef9ad03</t>
  </si>
  <si>
    <t>blueprint BP_260711_dd1da0fc @ 0.93; blueprint BP_260711_adba8c6f @ 0.87; blueprint BP_260711_52c09ae8 @ 0.86</t>
  </si>
  <si>
    <t>BP_260712_c1085fbd</t>
  </si>
  <si>
    <t>blueprint BP_260712_bef9ad03 @ 0.94; blueprint BP_260711_dd1da0fc @ 0.93; blueprint BP_260711_adba8c6f @ 0.88</t>
  </si>
  <si>
    <t>BP_260712_fb204f3e</t>
  </si>
  <si>
    <t>blueprint BP_260712_bef9ad03 @ 1.00; blueprint BP_260712_c1085fbd @ 0.94; blueprint BP_260711_dd1da0fc @ 0.93</t>
  </si>
  <si>
    <t>BP_260712_64a9caa1</t>
  </si>
  <si>
    <t>blueprint BP_260711_44e07ac9 @ 0.91; blueprint BP_260706_c253ef7b @ 0.91; blueprint BP_260712_fb204f3e @ 0.87</t>
  </si>
  <si>
    <t>BP_260712_f38c3041</t>
  </si>
  <si>
    <t>F26 The Untranslatable</t>
  </si>
  <si>
    <t>blueprint BP_260712_fb204f3e @ 0.95; blueprint BP_260712_bef9ad03 @ 0.95; blueprint BP_260712_c1085fbd @ 0.95</t>
  </si>
  <si>
    <t>BP_260712_a82f8d91</t>
  </si>
  <si>
    <t>blueprint BP_260712_fb204f3e @ 0.98; blueprint BP_260712_bef9ad03 @ 0.98; blueprint BP_260712_f38c3041 @ 0.95</t>
  </si>
  <si>
    <t>BP_260712_7abe25f8</t>
  </si>
  <si>
    <t>movement_levenshtein 1.00 vs RC-ELITE-260711-0023; movement_bigram_jaccard 1.00 vs RC-ELITE-260711-0023</t>
  </si>
  <si>
    <t>BP_260712_ca1a71a7</t>
  </si>
  <si>
    <t>movement_levenshtein 1.00 vs RC-ELITE-260711-0023; movement_bigram_jaccard 1.00 vs RC-ELITE-260711-0023; persona_leak delta=0.90 vs RC-ELITE-260711-0023</t>
  </si>
  <si>
    <t>BP_260712_f73d23de</t>
  </si>
  <si>
    <t>BP_260712_ad83f450</t>
  </si>
  <si>
    <t>BP_260712_d2f2a46f</t>
  </si>
  <si>
    <t>BP_260713_2863d282</t>
  </si>
  <si>
    <t>2026-07-13</t>
  </si>
  <si>
    <t>blueprint BP_260712_fb204f3e @ 0.91; blueprint BP_260712_bef9ad03 @ 0.91; blueprint BP_260706_64861678 @ 0.89</t>
  </si>
  <si>
    <t>BP_260713_a1cf245e</t>
  </si>
  <si>
    <t>blueprint BP_260713_2863d282 @ 0.90; blueprint BP_260711_c0e58682 @ 0.89; blueprint BP_260706_f22563d2 @ 0.89</t>
  </si>
  <si>
    <t>BP_260713_d1910f97</t>
  </si>
  <si>
    <t>blueprint BP_260713_2863d282 @ 0.95; blueprint BP_260712_fb204f3e @ 0.91; blueprint BP_260712_bef9ad03 @ 0.91</t>
  </si>
  <si>
    <t>BP_260726_f0b6e6c5</t>
  </si>
  <si>
    <t>persona_leak delta=0.81 vs RC-ELITE-260707-0022</t>
  </si>
  <si>
    <t>BP_260726_d184f1f4</t>
  </si>
  <si>
    <t>deferred_budget</t>
  </si>
  <si>
    <t>BP_260726_8e2fd1cb</t>
  </si>
  <si>
    <t>topology 0.78 vs RC-ELITE-260707-0022</t>
  </si>
  <si>
    <t>BP_260726_4e8037f8</t>
  </si>
  <si>
    <t>BP_260726_16536651</t>
  </si>
  <si>
    <t>RC Generation Summary</t>
  </si>
  <si>
    <t>Total shipped RC sets</t>
  </si>
  <si>
    <t>Approved</t>
  </si>
  <si>
    <t>Needs review</t>
  </si>
  <si>
    <t>Solver dispute</t>
  </si>
  <si>
    <t>Failed attempts (never shipped)</t>
  </si>
  <si>
    <t>Elite shipped</t>
  </si>
  <si>
    <t>Hard shipped</t>
  </si>
  <si>
    <t>Medium shipped</t>
  </si>
  <si>
    <t>Total generation cost ($)</t>
  </si>
  <si>
    <t>Shared to institute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</si>
</sst>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3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0" borderId="0" xfId="0" applyFont="1"/>
    <xf numFmtId="0" fontId="2" fillId="3" borderId="0" xfId="0" applyFont="1" applyFill="1"/>
    <xf numFmtId="2" fontId="2" fillId="0" borderId="0" xfId="0" applyNumberFormat="1" applyFont="1"/>
    <xf numFmtId="0" fontId="2" fillId="4" borderId="0" xfId="0" applyFont="1" applyFill="1"/>
    <xf numFmtId="0" fontId="3" fillId="0" borderId="0" xfId="0" applyFont="1"/>
    <xf numFmtId="0" fontId="4" fillId="0" borderId="0" xfId="0" applyFont="1"/>
    <xf numFmtId="164" fontId="4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workbookViewId="0">
      <pane ySplit="1" topLeftCell="A2" activePane="bottomLeft" state="frozen"/>
      <selection pane="bottomLeft" activeCell="E26" sqref="E26"/>
    </sheetView>
  </sheetViews>
  <sheetFormatPr defaultRowHeight="14.4" x14ac:dyDescent="0.3"/>
  <cols>
    <col min="1" max="1" width="24" customWidth="1"/>
    <col min="2" max="2" width="8" customWidth="1"/>
    <col min="3" max="3" width="14" customWidth="1"/>
    <col min="4" max="4" width="11" customWidth="1"/>
    <col min="5" max="5" width="13" customWidth="1"/>
    <col min="6" max="7" width="9" customWidth="1"/>
    <col min="8" max="8" width="12" customWidth="1"/>
    <col min="9" max="9" width="30" customWidth="1"/>
    <col min="10" max="10" width="20" customWidth="1"/>
    <col min="11" max="11" width="201.44140625" bestFit="1" customWidth="1"/>
    <col min="12" max="12" width="20" customWidth="1"/>
    <col min="13" max="13" width="11" customWidth="1"/>
    <col min="14" max="14" width="28" customWidth="1"/>
  </cols>
  <sheetData>
    <row r="1" spans="1:14" ht="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 t="s">
        <v>14</v>
      </c>
      <c r="B2" s="2" t="s">
        <v>15</v>
      </c>
      <c r="C2" s="3" t="s">
        <v>16</v>
      </c>
      <c r="D2" s="4">
        <v>8.8000000000000007</v>
      </c>
      <c r="E2" s="4">
        <v>1</v>
      </c>
      <c r="F2" s="4">
        <v>0.84299999999999997</v>
      </c>
      <c r="G2" s="4">
        <v>0.20005800000000001</v>
      </c>
      <c r="H2" s="2" t="s">
        <v>17</v>
      </c>
      <c r="I2" s="2" t="s">
        <v>18</v>
      </c>
      <c r="J2" s="2" t="s">
        <v>19</v>
      </c>
      <c r="K2" s="2" t="s">
        <v>20</v>
      </c>
      <c r="L2" s="2"/>
      <c r="M2" s="2"/>
      <c r="N2" s="2"/>
    </row>
    <row r="3" spans="1:14" x14ac:dyDescent="0.3">
      <c r="A3" s="2" t="s">
        <v>21</v>
      </c>
      <c r="B3" s="2" t="s">
        <v>22</v>
      </c>
      <c r="C3" s="3" t="s">
        <v>16</v>
      </c>
      <c r="D3" s="4">
        <v>8.8000000000000007</v>
      </c>
      <c r="E3" s="4">
        <v>1</v>
      </c>
      <c r="F3" s="4">
        <v>0.80900000000000005</v>
      </c>
      <c r="G3" s="4">
        <v>0.19456499999999999</v>
      </c>
      <c r="H3" s="2" t="s">
        <v>17</v>
      </c>
      <c r="I3" s="2" t="s">
        <v>23</v>
      </c>
      <c r="J3" s="2" t="s">
        <v>24</v>
      </c>
      <c r="K3" s="2" t="s">
        <v>25</v>
      </c>
      <c r="L3" s="2"/>
      <c r="M3" s="2"/>
      <c r="N3" s="2"/>
    </row>
    <row r="4" spans="1:14" x14ac:dyDescent="0.3">
      <c r="A4" s="2" t="s">
        <v>26</v>
      </c>
      <c r="B4" s="2" t="s">
        <v>22</v>
      </c>
      <c r="C4" s="3" t="s">
        <v>16</v>
      </c>
      <c r="D4" s="4">
        <v>8.8000000000000007</v>
      </c>
      <c r="E4" s="4">
        <v>1</v>
      </c>
      <c r="F4" s="4">
        <v>0.79300000000000004</v>
      </c>
      <c r="G4" s="4">
        <v>0.19267999999999999</v>
      </c>
      <c r="H4" s="2" t="s">
        <v>17</v>
      </c>
      <c r="I4" s="2" t="s">
        <v>27</v>
      </c>
      <c r="J4" s="2" t="s">
        <v>28</v>
      </c>
      <c r="K4" s="2" t="s">
        <v>25</v>
      </c>
      <c r="L4" s="2"/>
      <c r="M4" s="2"/>
      <c r="N4" s="2"/>
    </row>
    <row r="5" spans="1:14" x14ac:dyDescent="0.3">
      <c r="A5" s="2" t="s">
        <v>29</v>
      </c>
      <c r="B5" s="2" t="s">
        <v>15</v>
      </c>
      <c r="C5" s="5" t="s">
        <v>30</v>
      </c>
      <c r="D5" s="4">
        <v>8.6</v>
      </c>
      <c r="E5" s="4">
        <v>1</v>
      </c>
      <c r="F5" s="4">
        <v>0.83899999999999997</v>
      </c>
      <c r="G5" s="4">
        <v>0.191167</v>
      </c>
      <c r="H5" s="2" t="s">
        <v>17</v>
      </c>
      <c r="I5" s="2" t="s">
        <v>31</v>
      </c>
      <c r="J5" s="2" t="s">
        <v>19</v>
      </c>
      <c r="K5" s="2" t="s">
        <v>32</v>
      </c>
      <c r="L5" s="2"/>
      <c r="M5" s="2"/>
      <c r="N5" s="2"/>
    </row>
    <row r="6" spans="1:14" x14ac:dyDescent="0.3">
      <c r="A6" s="2" t="s">
        <v>33</v>
      </c>
      <c r="B6" s="2" t="s">
        <v>15</v>
      </c>
      <c r="C6" s="3" t="s">
        <v>16</v>
      </c>
      <c r="D6" s="4">
        <v>8.8000000000000007</v>
      </c>
      <c r="E6" s="4">
        <v>1</v>
      </c>
      <c r="F6" s="4">
        <v>0.745</v>
      </c>
      <c r="G6" s="4">
        <v>0.20354800000000001</v>
      </c>
      <c r="H6" s="2" t="s">
        <v>17</v>
      </c>
      <c r="I6" s="2" t="s">
        <v>34</v>
      </c>
      <c r="J6" s="2" t="s">
        <v>19</v>
      </c>
      <c r="K6" s="2" t="s">
        <v>25</v>
      </c>
      <c r="L6" s="2"/>
      <c r="M6" s="2"/>
      <c r="N6" s="2"/>
    </row>
    <row r="7" spans="1:14" x14ac:dyDescent="0.3">
      <c r="A7" s="2" t="s">
        <v>35</v>
      </c>
      <c r="B7" s="2" t="s">
        <v>15</v>
      </c>
      <c r="C7" s="3" t="s">
        <v>16</v>
      </c>
      <c r="D7" s="4">
        <v>8.6</v>
      </c>
      <c r="E7" s="4">
        <v>1</v>
      </c>
      <c r="F7" s="4">
        <v>0.749</v>
      </c>
      <c r="G7" s="4">
        <v>0.15513399999999999</v>
      </c>
      <c r="H7" s="2" t="s">
        <v>17</v>
      </c>
      <c r="I7" s="2" t="s">
        <v>36</v>
      </c>
      <c r="J7" s="2" t="s">
        <v>19</v>
      </c>
      <c r="K7" s="2" t="s">
        <v>37</v>
      </c>
      <c r="L7" s="2"/>
      <c r="M7" s="2"/>
      <c r="N7" s="2"/>
    </row>
    <row r="8" spans="1:14" x14ac:dyDescent="0.3">
      <c r="A8" s="2" t="s">
        <v>38</v>
      </c>
      <c r="B8" s="2" t="s">
        <v>39</v>
      </c>
      <c r="C8" s="3" t="s">
        <v>16</v>
      </c>
      <c r="D8" s="4">
        <v>8.6</v>
      </c>
      <c r="E8" s="4">
        <v>1</v>
      </c>
      <c r="F8" s="4">
        <v>0.70799999999999996</v>
      </c>
      <c r="G8" s="4">
        <v>7.4360000000000009E-2</v>
      </c>
      <c r="H8" s="2" t="s">
        <v>40</v>
      </c>
      <c r="I8" s="2" t="s">
        <v>41</v>
      </c>
      <c r="J8" s="2" t="s">
        <v>28</v>
      </c>
      <c r="K8" s="2" t="s">
        <v>42</v>
      </c>
      <c r="L8" s="2"/>
      <c r="M8" s="2"/>
      <c r="N8" s="2"/>
    </row>
    <row r="9" spans="1:14" x14ac:dyDescent="0.3">
      <c r="A9" s="2" t="s">
        <v>43</v>
      </c>
      <c r="B9" s="2" t="s">
        <v>15</v>
      </c>
      <c r="C9" s="3" t="s">
        <v>16</v>
      </c>
      <c r="D9" s="4">
        <v>8.6</v>
      </c>
      <c r="E9" s="4">
        <v>1</v>
      </c>
      <c r="F9" s="4">
        <v>0.78400000000000003</v>
      </c>
      <c r="G9" s="4">
        <v>0.15792400000000001</v>
      </c>
      <c r="H9" s="2" t="s">
        <v>40</v>
      </c>
      <c r="I9" s="2" t="s">
        <v>44</v>
      </c>
      <c r="J9" s="2" t="s">
        <v>45</v>
      </c>
      <c r="K9" s="2" t="s">
        <v>46</v>
      </c>
      <c r="L9" s="2"/>
      <c r="M9" s="2"/>
      <c r="N9" s="2"/>
    </row>
    <row r="10" spans="1:14" x14ac:dyDescent="0.3">
      <c r="A10" s="2" t="s">
        <v>47</v>
      </c>
      <c r="B10" s="2" t="s">
        <v>15</v>
      </c>
      <c r="C10" s="5" t="s">
        <v>30</v>
      </c>
      <c r="D10" s="4">
        <v>8.8000000000000007</v>
      </c>
      <c r="E10" s="4">
        <v>1</v>
      </c>
      <c r="F10" s="4">
        <v>0.71399999999999997</v>
      </c>
      <c r="G10" s="4">
        <v>0.16267699999999999</v>
      </c>
      <c r="H10" s="2" t="s">
        <v>40</v>
      </c>
      <c r="I10" s="2" t="s">
        <v>48</v>
      </c>
      <c r="J10" s="2" t="s">
        <v>24</v>
      </c>
      <c r="K10" s="2" t="s">
        <v>49</v>
      </c>
      <c r="L10" s="2"/>
      <c r="M10" s="2"/>
      <c r="N10" s="2"/>
    </row>
    <row r="11" spans="1:14" x14ac:dyDescent="0.3">
      <c r="A11" s="2" t="s">
        <v>50</v>
      </c>
      <c r="B11" s="2" t="s">
        <v>15</v>
      </c>
      <c r="C11" s="2" t="s">
        <v>51</v>
      </c>
      <c r="D11" s="4">
        <v>0</v>
      </c>
      <c r="E11" s="4">
        <v>1</v>
      </c>
      <c r="F11" s="4">
        <v>0.68799999999999994</v>
      </c>
      <c r="G11" s="4">
        <v>0.14283299999999999</v>
      </c>
      <c r="H11" s="2" t="s">
        <v>52</v>
      </c>
      <c r="I11" s="2" t="s">
        <v>53</v>
      </c>
      <c r="J11" s="2" t="s">
        <v>45</v>
      </c>
      <c r="K11" s="2" t="s">
        <v>54</v>
      </c>
      <c r="L11" s="2"/>
      <c r="M11" s="2"/>
      <c r="N11" s="2"/>
    </row>
    <row r="12" spans="1:14" x14ac:dyDescent="0.3">
      <c r="A12" s="2" t="s">
        <v>55</v>
      </c>
      <c r="B12" s="2" t="s">
        <v>15</v>
      </c>
      <c r="C12" s="5" t="s">
        <v>30</v>
      </c>
      <c r="D12" s="4">
        <v>8.6</v>
      </c>
      <c r="E12" s="4">
        <v>1</v>
      </c>
      <c r="F12" s="4">
        <v>0.70699999999999996</v>
      </c>
      <c r="G12" s="4">
        <v>0.14433199999999999</v>
      </c>
      <c r="H12" s="2" t="s">
        <v>52</v>
      </c>
      <c r="I12" s="2" t="s">
        <v>56</v>
      </c>
      <c r="J12" s="2" t="s">
        <v>45</v>
      </c>
      <c r="K12" s="2" t="s">
        <v>57</v>
      </c>
      <c r="L12" s="2"/>
      <c r="M12" s="2"/>
      <c r="N12" s="2"/>
    </row>
    <row r="13" spans="1:14" x14ac:dyDescent="0.3">
      <c r="A13" s="2" t="s">
        <v>58</v>
      </c>
      <c r="B13" s="2" t="s">
        <v>15</v>
      </c>
      <c r="C13" s="5" t="s">
        <v>30</v>
      </c>
      <c r="D13" s="4">
        <v>8.6</v>
      </c>
      <c r="E13" s="4">
        <v>1</v>
      </c>
      <c r="F13" s="4">
        <v>0.66300000000000003</v>
      </c>
      <c r="G13" s="4">
        <v>0.17484199999999989</v>
      </c>
      <c r="H13" s="2" t="s">
        <v>52</v>
      </c>
      <c r="I13" s="2" t="s">
        <v>59</v>
      </c>
      <c r="J13" s="2" t="s">
        <v>24</v>
      </c>
      <c r="K13" s="2" t="s">
        <v>60</v>
      </c>
      <c r="L13" s="2"/>
      <c r="M13" s="2"/>
      <c r="N13" s="2"/>
    </row>
    <row r="14" spans="1:14" x14ac:dyDescent="0.3">
      <c r="A14" s="2" t="s">
        <v>61</v>
      </c>
      <c r="B14" s="2" t="s">
        <v>22</v>
      </c>
      <c r="C14" s="3" t="s">
        <v>16</v>
      </c>
      <c r="D14" s="4">
        <v>8.8000000000000007</v>
      </c>
      <c r="E14" s="4">
        <v>0.9</v>
      </c>
      <c r="F14" s="4">
        <v>0.65500000000000003</v>
      </c>
      <c r="G14" s="4">
        <v>0.194574</v>
      </c>
      <c r="H14" s="2" t="s">
        <v>62</v>
      </c>
      <c r="I14" s="2" t="s">
        <v>63</v>
      </c>
      <c r="J14" s="2" t="s">
        <v>64</v>
      </c>
      <c r="K14" s="2" t="s">
        <v>65</v>
      </c>
      <c r="L14" s="2"/>
      <c r="M14" s="2"/>
      <c r="N14" s="2"/>
    </row>
    <row r="15" spans="1:14" x14ac:dyDescent="0.3">
      <c r="A15" s="2" t="s">
        <v>66</v>
      </c>
      <c r="B15" s="2" t="s">
        <v>15</v>
      </c>
      <c r="C15" s="3" t="s">
        <v>16</v>
      </c>
      <c r="D15" s="4">
        <v>8.8000000000000007</v>
      </c>
      <c r="E15" s="4">
        <v>1</v>
      </c>
      <c r="F15" s="4">
        <v>0.63600000000000001</v>
      </c>
      <c r="G15" s="4">
        <v>0.158663</v>
      </c>
      <c r="H15" s="2" t="s">
        <v>62</v>
      </c>
      <c r="I15" s="2" t="s">
        <v>67</v>
      </c>
      <c r="J15" s="2" t="s">
        <v>45</v>
      </c>
      <c r="K15" s="2" t="s">
        <v>68</v>
      </c>
      <c r="L15" s="2"/>
      <c r="M15" s="2"/>
      <c r="N15" s="2"/>
    </row>
    <row r="16" spans="1:14" x14ac:dyDescent="0.3">
      <c r="A16" s="2" t="s">
        <v>69</v>
      </c>
      <c r="B16" s="2" t="s">
        <v>22</v>
      </c>
      <c r="C16" s="3" t="s">
        <v>16</v>
      </c>
      <c r="D16" s="4">
        <v>8.8000000000000007</v>
      </c>
      <c r="E16" s="4">
        <v>1</v>
      </c>
      <c r="F16" s="4">
        <v>0.80800000000000005</v>
      </c>
      <c r="G16" s="4">
        <v>0.20100899999999999</v>
      </c>
      <c r="H16" s="2" t="s">
        <v>62</v>
      </c>
      <c r="I16" s="2" t="s">
        <v>70</v>
      </c>
      <c r="J16" s="2" t="s">
        <v>19</v>
      </c>
      <c r="K16" s="2" t="s">
        <v>71</v>
      </c>
      <c r="L16" s="2"/>
      <c r="M16" s="2"/>
      <c r="N16" s="2"/>
    </row>
    <row r="17" spans="1:14" x14ac:dyDescent="0.3">
      <c r="A17" s="2" t="s">
        <v>72</v>
      </c>
      <c r="B17" s="2" t="s">
        <v>22</v>
      </c>
      <c r="C17" s="3" t="s">
        <v>16</v>
      </c>
      <c r="D17" s="4">
        <v>8.8000000000000007</v>
      </c>
      <c r="E17" s="4">
        <v>1</v>
      </c>
      <c r="F17" s="4">
        <v>0.70099999999999996</v>
      </c>
      <c r="G17" s="4">
        <v>0.190196</v>
      </c>
      <c r="H17" s="2" t="s">
        <v>62</v>
      </c>
      <c r="I17" s="2" t="s">
        <v>73</v>
      </c>
      <c r="J17" s="2" t="s">
        <v>64</v>
      </c>
      <c r="K17" s="2" t="s">
        <v>74</v>
      </c>
      <c r="L17" s="2"/>
      <c r="M17" s="2"/>
      <c r="N17" s="2"/>
    </row>
    <row r="18" spans="1:14" x14ac:dyDescent="0.3">
      <c r="A18" s="2" t="s">
        <v>75</v>
      </c>
      <c r="B18" s="2" t="s">
        <v>15</v>
      </c>
      <c r="C18" s="3" t="s">
        <v>16</v>
      </c>
      <c r="D18" s="4">
        <v>8.8000000000000007</v>
      </c>
      <c r="E18" s="4">
        <v>1</v>
      </c>
      <c r="F18" s="4">
        <v>0.66900000000000004</v>
      </c>
      <c r="G18" s="4">
        <v>0.31389400000000001</v>
      </c>
      <c r="H18" s="2" t="s">
        <v>62</v>
      </c>
      <c r="I18" s="2" t="s">
        <v>76</v>
      </c>
      <c r="J18" s="2" t="s">
        <v>45</v>
      </c>
      <c r="K18" s="2" t="s">
        <v>77</v>
      </c>
      <c r="L18" s="2"/>
      <c r="M18" s="2"/>
      <c r="N18" s="2"/>
    </row>
    <row r="19" spans="1:14" x14ac:dyDescent="0.3">
      <c r="A19" s="2" t="s">
        <v>78</v>
      </c>
      <c r="B19" s="2" t="s">
        <v>39</v>
      </c>
      <c r="C19" s="3" t="s">
        <v>16</v>
      </c>
      <c r="D19" s="4">
        <v>8.4</v>
      </c>
      <c r="E19" s="4">
        <v>1</v>
      </c>
      <c r="F19" s="4">
        <v>0.71099999999999997</v>
      </c>
      <c r="G19" s="4">
        <v>0.14674300000000001</v>
      </c>
      <c r="H19" s="2" t="s">
        <v>62</v>
      </c>
      <c r="I19" s="2" t="s">
        <v>79</v>
      </c>
      <c r="J19" s="2" t="s">
        <v>45</v>
      </c>
      <c r="K19" s="2" t="s">
        <v>80</v>
      </c>
      <c r="L19" s="2"/>
      <c r="M19" s="2"/>
      <c r="N19" s="2"/>
    </row>
    <row r="20" spans="1:14" x14ac:dyDescent="0.3">
      <c r="A20" s="2" t="s">
        <v>81</v>
      </c>
      <c r="B20" s="2" t="s">
        <v>22</v>
      </c>
      <c r="C20" s="5" t="s">
        <v>30</v>
      </c>
      <c r="D20" s="4">
        <v>0</v>
      </c>
      <c r="E20" s="4">
        <v>1</v>
      </c>
      <c r="F20" s="4">
        <v>0.67300000000000004</v>
      </c>
      <c r="G20" s="4">
        <v>0.233955</v>
      </c>
      <c r="H20" s="2" t="s">
        <v>82</v>
      </c>
      <c r="I20" s="2" t="s">
        <v>83</v>
      </c>
      <c r="J20" s="2" t="s">
        <v>24</v>
      </c>
      <c r="K20" s="2" t="s">
        <v>84</v>
      </c>
      <c r="L20" s="2"/>
      <c r="M20" s="2"/>
      <c r="N20" s="2"/>
    </row>
    <row r="21" spans="1:14" x14ac:dyDescent="0.3">
      <c r="A21" s="2" t="s">
        <v>85</v>
      </c>
      <c r="B21" s="2" t="s">
        <v>15</v>
      </c>
      <c r="C21" s="2" t="s">
        <v>51</v>
      </c>
      <c r="D21" s="4">
        <v>0</v>
      </c>
      <c r="E21" s="4">
        <v>1</v>
      </c>
      <c r="F21" s="4">
        <v>0.68700000000000006</v>
      </c>
      <c r="G21" s="4">
        <v>0.25527499999999997</v>
      </c>
      <c r="H21" s="2" t="s">
        <v>82</v>
      </c>
      <c r="I21" s="2" t="s">
        <v>86</v>
      </c>
      <c r="J21" s="2" t="s">
        <v>19</v>
      </c>
      <c r="K21" s="2" t="s">
        <v>87</v>
      </c>
      <c r="L21" s="2"/>
      <c r="M21" s="2"/>
      <c r="N21" s="2"/>
    </row>
    <row r="22" spans="1:14" x14ac:dyDescent="0.3">
      <c r="A22" s="2" t="s">
        <v>88</v>
      </c>
      <c r="B22" s="2" t="s">
        <v>22</v>
      </c>
      <c r="C22" s="5" t="s">
        <v>30</v>
      </c>
      <c r="D22" s="4">
        <v>8.6</v>
      </c>
      <c r="E22" s="4">
        <v>1</v>
      </c>
      <c r="F22" s="4">
        <v>0.63700000000000001</v>
      </c>
      <c r="G22" s="4">
        <v>0.16357099999999999</v>
      </c>
      <c r="H22" s="2" t="s">
        <v>82</v>
      </c>
      <c r="I22" s="2" t="s">
        <v>89</v>
      </c>
      <c r="J22" s="2" t="s">
        <v>45</v>
      </c>
      <c r="K22" s="2" t="s">
        <v>90</v>
      </c>
      <c r="L22" s="2"/>
      <c r="M22" s="2"/>
      <c r="N22" s="2"/>
    </row>
    <row r="23" spans="1:14" x14ac:dyDescent="0.3">
      <c r="A23" s="2" t="s">
        <v>91</v>
      </c>
      <c r="B23" s="2" t="s">
        <v>15</v>
      </c>
      <c r="C23" s="3" t="s">
        <v>16</v>
      </c>
      <c r="D23" s="4">
        <v>8.6</v>
      </c>
      <c r="E23" s="4">
        <v>1</v>
      </c>
      <c r="F23" s="4">
        <v>0.65800000000000003</v>
      </c>
      <c r="G23" s="4">
        <v>0.20333799999999999</v>
      </c>
      <c r="H23" s="2" t="s">
        <v>82</v>
      </c>
      <c r="I23" s="2" t="s">
        <v>92</v>
      </c>
      <c r="J23" s="2" t="s">
        <v>24</v>
      </c>
      <c r="K23" s="2" t="s">
        <v>93</v>
      </c>
      <c r="L23" s="2"/>
      <c r="M23" s="2"/>
      <c r="N23" s="2"/>
    </row>
  </sheetData>
  <autoFilter ref="A1:N2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F80"/>
  <sheetViews>
    <sheetView workbookViewId="0">
      <pane ySplit="1" topLeftCell="A76" activePane="bottomLeft" state="frozen"/>
      <selection pane="bottomLeft" activeCell="D82" sqref="D82"/>
    </sheetView>
  </sheetViews>
  <sheetFormatPr defaultRowHeight="14.4" x14ac:dyDescent="0.3"/>
  <cols>
    <col min="1" max="1" width="22" customWidth="1"/>
    <col min="2" max="2" width="8" customWidth="1"/>
    <col min="3" max="3" width="28" customWidth="1"/>
    <col min="4" max="4" width="18" customWidth="1"/>
    <col min="5" max="5" width="12" customWidth="1"/>
    <col min="6" max="6" width="70" customWidth="1"/>
  </cols>
  <sheetData>
    <row r="1" spans="1:6" x14ac:dyDescent="0.3">
      <c r="A1" s="1" t="s">
        <v>94</v>
      </c>
      <c r="B1" s="1" t="s">
        <v>1</v>
      </c>
      <c r="C1" s="1" t="s">
        <v>8</v>
      </c>
      <c r="D1" s="1" t="s">
        <v>2</v>
      </c>
      <c r="E1" s="1" t="s">
        <v>95</v>
      </c>
      <c r="F1" s="1" t="s">
        <v>96</v>
      </c>
    </row>
    <row r="2" spans="1:6" hidden="1" x14ac:dyDescent="0.3">
      <c r="A2" s="2" t="s">
        <v>97</v>
      </c>
      <c r="B2" s="2" t="s">
        <v>22</v>
      </c>
      <c r="C2" s="2" t="s">
        <v>98</v>
      </c>
      <c r="D2" s="2" t="s">
        <v>51</v>
      </c>
      <c r="E2" s="2" t="s">
        <v>17</v>
      </c>
      <c r="F2" s="2" t="s">
        <v>99</v>
      </c>
    </row>
    <row r="3" spans="1:6" hidden="1" x14ac:dyDescent="0.3">
      <c r="A3" s="2" t="s">
        <v>100</v>
      </c>
      <c r="B3" s="2" t="s">
        <v>15</v>
      </c>
      <c r="C3" s="2" t="s">
        <v>101</v>
      </c>
      <c r="D3" s="2" t="s">
        <v>51</v>
      </c>
      <c r="E3" s="2" t="s">
        <v>17</v>
      </c>
      <c r="F3" s="2" t="s">
        <v>102</v>
      </c>
    </row>
    <row r="4" spans="1:6" hidden="1" x14ac:dyDescent="0.3">
      <c r="A4" s="2" t="s">
        <v>103</v>
      </c>
      <c r="B4" s="2" t="s">
        <v>15</v>
      </c>
      <c r="C4" s="2" t="s">
        <v>36</v>
      </c>
      <c r="D4" s="2" t="s">
        <v>51</v>
      </c>
      <c r="E4" s="2" t="s">
        <v>17</v>
      </c>
      <c r="F4" s="2" t="s">
        <v>104</v>
      </c>
    </row>
    <row r="5" spans="1:6" hidden="1" x14ac:dyDescent="0.3">
      <c r="A5" s="2" t="s">
        <v>105</v>
      </c>
      <c r="B5" s="2" t="s">
        <v>15</v>
      </c>
      <c r="C5" s="2" t="s">
        <v>106</v>
      </c>
      <c r="D5" s="2" t="s">
        <v>51</v>
      </c>
      <c r="E5" s="2" t="s">
        <v>17</v>
      </c>
      <c r="F5" s="2" t="s">
        <v>107</v>
      </c>
    </row>
    <row r="6" spans="1:6" hidden="1" x14ac:dyDescent="0.3">
      <c r="A6" s="2" t="s">
        <v>108</v>
      </c>
      <c r="B6" s="2" t="s">
        <v>15</v>
      </c>
      <c r="C6" s="2" t="s">
        <v>109</v>
      </c>
      <c r="D6" s="2" t="s">
        <v>51</v>
      </c>
      <c r="E6" s="2" t="s">
        <v>17</v>
      </c>
      <c r="F6" s="2" t="s">
        <v>110</v>
      </c>
    </row>
    <row r="7" spans="1:6" hidden="1" x14ac:dyDescent="0.3">
      <c r="A7" s="2" t="s">
        <v>111</v>
      </c>
      <c r="B7" s="2" t="s">
        <v>15</v>
      </c>
      <c r="C7" s="2" t="s">
        <v>83</v>
      </c>
      <c r="D7" s="2" t="s">
        <v>51</v>
      </c>
      <c r="E7" s="2" t="s">
        <v>17</v>
      </c>
      <c r="F7" s="2" t="s">
        <v>112</v>
      </c>
    </row>
    <row r="8" spans="1:6" hidden="1" x14ac:dyDescent="0.3">
      <c r="A8" s="2" t="s">
        <v>113</v>
      </c>
      <c r="B8" s="2" t="s">
        <v>15</v>
      </c>
      <c r="C8" s="2" t="s">
        <v>101</v>
      </c>
      <c r="D8" s="2" t="s">
        <v>51</v>
      </c>
      <c r="E8" s="2" t="s">
        <v>17</v>
      </c>
      <c r="F8" s="2" t="s">
        <v>114</v>
      </c>
    </row>
    <row r="9" spans="1:6" hidden="1" x14ac:dyDescent="0.3">
      <c r="A9" s="2" t="s">
        <v>115</v>
      </c>
      <c r="B9" s="2" t="s">
        <v>15</v>
      </c>
      <c r="C9" s="2" t="s">
        <v>63</v>
      </c>
      <c r="D9" s="2" t="s">
        <v>51</v>
      </c>
      <c r="E9" s="2" t="s">
        <v>17</v>
      </c>
      <c r="F9" s="2" t="s">
        <v>99</v>
      </c>
    </row>
    <row r="10" spans="1:6" hidden="1" x14ac:dyDescent="0.3">
      <c r="A10" s="2" t="s">
        <v>116</v>
      </c>
      <c r="B10" s="2" t="s">
        <v>39</v>
      </c>
      <c r="C10" s="2" t="s">
        <v>117</v>
      </c>
      <c r="D10" s="2" t="s">
        <v>51</v>
      </c>
      <c r="E10" s="2" t="s">
        <v>40</v>
      </c>
      <c r="F10" s="2" t="s">
        <v>118</v>
      </c>
    </row>
    <row r="11" spans="1:6" hidden="1" x14ac:dyDescent="0.3">
      <c r="A11" s="2" t="s">
        <v>119</v>
      </c>
      <c r="B11" s="2" t="s">
        <v>39</v>
      </c>
      <c r="C11" s="2" t="s">
        <v>76</v>
      </c>
      <c r="D11" s="2" t="s">
        <v>51</v>
      </c>
      <c r="E11" s="2" t="s">
        <v>40</v>
      </c>
      <c r="F11" s="2" t="s">
        <v>120</v>
      </c>
    </row>
    <row r="12" spans="1:6" hidden="1" x14ac:dyDescent="0.3">
      <c r="A12" s="2" t="s">
        <v>121</v>
      </c>
      <c r="B12" s="2" t="s">
        <v>39</v>
      </c>
      <c r="C12" s="2" t="s">
        <v>122</v>
      </c>
      <c r="D12" s="2" t="s">
        <v>51</v>
      </c>
      <c r="E12" s="2" t="s">
        <v>40</v>
      </c>
      <c r="F12" s="2" t="s">
        <v>123</v>
      </c>
    </row>
    <row r="13" spans="1:6" hidden="1" x14ac:dyDescent="0.3">
      <c r="A13" s="2" t="s">
        <v>124</v>
      </c>
      <c r="B13" s="2" t="s">
        <v>39</v>
      </c>
      <c r="C13" s="2" t="s">
        <v>79</v>
      </c>
      <c r="D13" s="2" t="s">
        <v>51</v>
      </c>
      <c r="E13" s="2" t="s">
        <v>40</v>
      </c>
      <c r="F13" s="2" t="s">
        <v>125</v>
      </c>
    </row>
    <row r="14" spans="1:6" hidden="1" x14ac:dyDescent="0.3">
      <c r="A14" s="2" t="s">
        <v>126</v>
      </c>
      <c r="B14" s="2" t="s">
        <v>39</v>
      </c>
      <c r="C14" s="2" t="s">
        <v>127</v>
      </c>
      <c r="D14" s="2" t="s">
        <v>51</v>
      </c>
      <c r="E14" s="2" t="s">
        <v>40</v>
      </c>
      <c r="F14" s="2" t="s">
        <v>128</v>
      </c>
    </row>
    <row r="15" spans="1:6" hidden="1" x14ac:dyDescent="0.3">
      <c r="A15" s="2" t="s">
        <v>129</v>
      </c>
      <c r="B15" s="2" t="s">
        <v>15</v>
      </c>
      <c r="C15" s="2" t="s">
        <v>67</v>
      </c>
      <c r="D15" s="2" t="s">
        <v>51</v>
      </c>
      <c r="E15" s="2" t="s">
        <v>40</v>
      </c>
      <c r="F15" s="2" t="s">
        <v>130</v>
      </c>
    </row>
    <row r="16" spans="1:6" hidden="1" x14ac:dyDescent="0.3">
      <c r="A16" s="2" t="s">
        <v>131</v>
      </c>
      <c r="B16" s="2" t="s">
        <v>15</v>
      </c>
      <c r="C16" s="2" t="s">
        <v>98</v>
      </c>
      <c r="D16" s="2" t="s">
        <v>51</v>
      </c>
      <c r="E16" s="2" t="s">
        <v>40</v>
      </c>
      <c r="F16" s="2" t="s">
        <v>132</v>
      </c>
    </row>
    <row r="17" spans="1:6" hidden="1" x14ac:dyDescent="0.3">
      <c r="A17" s="2" t="s">
        <v>133</v>
      </c>
      <c r="B17" s="2" t="s">
        <v>15</v>
      </c>
      <c r="C17" s="2" t="s">
        <v>101</v>
      </c>
      <c r="D17" s="2" t="s">
        <v>51</v>
      </c>
      <c r="E17" s="2" t="s">
        <v>40</v>
      </c>
      <c r="F17" s="2" t="s">
        <v>134</v>
      </c>
    </row>
    <row r="18" spans="1:6" hidden="1" x14ac:dyDescent="0.3">
      <c r="A18" s="2" t="s">
        <v>135</v>
      </c>
      <c r="B18" s="2" t="s">
        <v>15</v>
      </c>
      <c r="C18" s="2" t="s">
        <v>56</v>
      </c>
      <c r="D18" s="2" t="s">
        <v>51</v>
      </c>
      <c r="E18" s="2" t="s">
        <v>40</v>
      </c>
      <c r="F18" s="2" t="s">
        <v>132</v>
      </c>
    </row>
    <row r="19" spans="1:6" hidden="1" x14ac:dyDescent="0.3">
      <c r="A19" s="2" t="s">
        <v>136</v>
      </c>
      <c r="B19" s="2" t="s">
        <v>39</v>
      </c>
      <c r="C19" s="2" t="s">
        <v>73</v>
      </c>
      <c r="D19" s="2" t="s">
        <v>51</v>
      </c>
      <c r="E19" s="2" t="s">
        <v>40</v>
      </c>
      <c r="F19" s="2" t="s">
        <v>137</v>
      </c>
    </row>
    <row r="20" spans="1:6" hidden="1" x14ac:dyDescent="0.3">
      <c r="A20" s="2" t="s">
        <v>138</v>
      </c>
      <c r="B20" s="2" t="s">
        <v>39</v>
      </c>
      <c r="C20" s="2" t="s">
        <v>63</v>
      </c>
      <c r="D20" s="2" t="s">
        <v>51</v>
      </c>
      <c r="E20" s="2" t="s">
        <v>40</v>
      </c>
      <c r="F20" s="2" t="s">
        <v>139</v>
      </c>
    </row>
    <row r="21" spans="1:6" hidden="1" x14ac:dyDescent="0.3">
      <c r="A21" s="2" t="s">
        <v>140</v>
      </c>
      <c r="B21" s="2" t="s">
        <v>39</v>
      </c>
      <c r="C21" s="2" t="s">
        <v>101</v>
      </c>
      <c r="D21" s="2" t="s">
        <v>141</v>
      </c>
      <c r="E21" s="2" t="s">
        <v>40</v>
      </c>
      <c r="F21" s="2"/>
    </row>
    <row r="22" spans="1:6" hidden="1" x14ac:dyDescent="0.3">
      <c r="A22" s="2" t="s">
        <v>142</v>
      </c>
      <c r="B22" s="2" t="s">
        <v>39</v>
      </c>
      <c r="C22" s="2" t="s">
        <v>63</v>
      </c>
      <c r="D22" s="2" t="s">
        <v>51</v>
      </c>
      <c r="E22" s="2" t="s">
        <v>40</v>
      </c>
      <c r="F22" s="2" t="s">
        <v>143</v>
      </c>
    </row>
    <row r="23" spans="1:6" hidden="1" x14ac:dyDescent="0.3">
      <c r="A23" s="2" t="s">
        <v>144</v>
      </c>
      <c r="B23" s="2" t="s">
        <v>39</v>
      </c>
      <c r="C23" s="2" t="s">
        <v>63</v>
      </c>
      <c r="D23" s="2" t="s">
        <v>51</v>
      </c>
      <c r="E23" s="2" t="s">
        <v>40</v>
      </c>
      <c r="F23" s="2" t="s">
        <v>145</v>
      </c>
    </row>
    <row r="24" spans="1:6" hidden="1" x14ac:dyDescent="0.3">
      <c r="A24" s="2" t="s">
        <v>146</v>
      </c>
      <c r="B24" s="2" t="s">
        <v>39</v>
      </c>
      <c r="C24" s="2" t="s">
        <v>127</v>
      </c>
      <c r="D24" s="2" t="s">
        <v>147</v>
      </c>
      <c r="E24" s="2" t="s">
        <v>40</v>
      </c>
      <c r="F24" s="2"/>
    </row>
    <row r="25" spans="1:6" hidden="1" x14ac:dyDescent="0.3">
      <c r="A25" s="2" t="s">
        <v>148</v>
      </c>
      <c r="B25" s="2" t="s">
        <v>39</v>
      </c>
      <c r="C25" s="2" t="s">
        <v>63</v>
      </c>
      <c r="D25" s="2" t="s">
        <v>147</v>
      </c>
      <c r="E25" s="2" t="s">
        <v>40</v>
      </c>
      <c r="F25" s="2"/>
    </row>
    <row r="26" spans="1:6" hidden="1" x14ac:dyDescent="0.3">
      <c r="A26" s="2" t="s">
        <v>149</v>
      </c>
      <c r="B26" s="2" t="s">
        <v>39</v>
      </c>
      <c r="C26" s="2" t="s">
        <v>73</v>
      </c>
      <c r="D26" s="2" t="s">
        <v>147</v>
      </c>
      <c r="E26" s="2" t="s">
        <v>40</v>
      </c>
      <c r="F26" s="2"/>
    </row>
    <row r="27" spans="1:6" hidden="1" x14ac:dyDescent="0.3">
      <c r="A27" s="2" t="s">
        <v>150</v>
      </c>
      <c r="B27" s="2" t="s">
        <v>22</v>
      </c>
      <c r="C27" s="2" t="s">
        <v>83</v>
      </c>
      <c r="D27" s="2" t="s">
        <v>147</v>
      </c>
      <c r="E27" s="2" t="s">
        <v>40</v>
      </c>
      <c r="F27" s="2"/>
    </row>
    <row r="28" spans="1:6" hidden="1" x14ac:dyDescent="0.3">
      <c r="A28" s="2" t="s">
        <v>151</v>
      </c>
      <c r="B28" s="2" t="s">
        <v>15</v>
      </c>
      <c r="C28" s="2" t="s">
        <v>83</v>
      </c>
      <c r="D28" s="2" t="s">
        <v>147</v>
      </c>
      <c r="E28" s="2" t="s">
        <v>40</v>
      </c>
      <c r="F28" s="2"/>
    </row>
    <row r="29" spans="1:6" hidden="1" x14ac:dyDescent="0.3">
      <c r="A29" s="2" t="s">
        <v>152</v>
      </c>
      <c r="B29" s="2" t="s">
        <v>15</v>
      </c>
      <c r="C29" s="2" t="s">
        <v>83</v>
      </c>
      <c r="D29" s="2" t="s">
        <v>147</v>
      </c>
      <c r="E29" s="2" t="s">
        <v>40</v>
      </c>
      <c r="F29" s="2"/>
    </row>
    <row r="30" spans="1:6" hidden="1" x14ac:dyDescent="0.3">
      <c r="A30" s="2" t="s">
        <v>153</v>
      </c>
      <c r="B30" s="2" t="s">
        <v>39</v>
      </c>
      <c r="C30" s="2" t="s">
        <v>73</v>
      </c>
      <c r="D30" s="2" t="s">
        <v>51</v>
      </c>
      <c r="E30" s="2" t="s">
        <v>40</v>
      </c>
      <c r="F30" s="2" t="s">
        <v>154</v>
      </c>
    </row>
    <row r="31" spans="1:6" hidden="1" x14ac:dyDescent="0.3">
      <c r="A31" s="2" t="s">
        <v>155</v>
      </c>
      <c r="B31" s="2" t="s">
        <v>39</v>
      </c>
      <c r="C31" s="2" t="s">
        <v>127</v>
      </c>
      <c r="D31" s="2" t="s">
        <v>51</v>
      </c>
      <c r="E31" s="2" t="s">
        <v>40</v>
      </c>
      <c r="F31" s="2" t="s">
        <v>156</v>
      </c>
    </row>
    <row r="32" spans="1:6" hidden="1" x14ac:dyDescent="0.3">
      <c r="A32" s="2" t="s">
        <v>157</v>
      </c>
      <c r="B32" s="2" t="s">
        <v>39</v>
      </c>
      <c r="C32" s="2" t="s">
        <v>127</v>
      </c>
      <c r="D32" s="2" t="s">
        <v>51</v>
      </c>
      <c r="E32" s="2" t="s">
        <v>40</v>
      </c>
      <c r="F32" s="2" t="s">
        <v>158</v>
      </c>
    </row>
    <row r="33" spans="1:6" hidden="1" x14ac:dyDescent="0.3">
      <c r="A33" s="2" t="s">
        <v>159</v>
      </c>
      <c r="B33" s="2" t="s">
        <v>39</v>
      </c>
      <c r="C33" s="2" t="s">
        <v>127</v>
      </c>
      <c r="D33" s="2" t="s">
        <v>51</v>
      </c>
      <c r="E33" s="2" t="s">
        <v>40</v>
      </c>
      <c r="F33" s="2" t="s">
        <v>160</v>
      </c>
    </row>
    <row r="34" spans="1:6" hidden="1" x14ac:dyDescent="0.3">
      <c r="A34" s="2" t="s">
        <v>161</v>
      </c>
      <c r="B34" s="2" t="s">
        <v>39</v>
      </c>
      <c r="C34" s="2" t="s">
        <v>63</v>
      </c>
      <c r="D34" s="2" t="s">
        <v>141</v>
      </c>
      <c r="E34" s="2" t="s">
        <v>40</v>
      </c>
      <c r="F34" s="2"/>
    </row>
    <row r="35" spans="1:6" hidden="1" x14ac:dyDescent="0.3">
      <c r="A35" s="2" t="s">
        <v>162</v>
      </c>
      <c r="B35" s="2" t="s">
        <v>22</v>
      </c>
      <c r="C35" s="2" t="s">
        <v>59</v>
      </c>
      <c r="D35" s="2" t="s">
        <v>51</v>
      </c>
      <c r="E35" s="2" t="s">
        <v>40</v>
      </c>
      <c r="F35" s="2" t="s">
        <v>163</v>
      </c>
    </row>
    <row r="36" spans="1:6" hidden="1" x14ac:dyDescent="0.3">
      <c r="A36" s="2" t="s">
        <v>164</v>
      </c>
      <c r="B36" s="2" t="s">
        <v>22</v>
      </c>
      <c r="C36" s="2" t="s">
        <v>83</v>
      </c>
      <c r="D36" s="2" t="s">
        <v>51</v>
      </c>
      <c r="E36" s="2" t="s">
        <v>40</v>
      </c>
      <c r="F36" s="2" t="s">
        <v>165</v>
      </c>
    </row>
    <row r="37" spans="1:6" hidden="1" x14ac:dyDescent="0.3">
      <c r="A37" s="2" t="s">
        <v>166</v>
      </c>
      <c r="B37" s="2" t="s">
        <v>22</v>
      </c>
      <c r="C37" s="2" t="s">
        <v>98</v>
      </c>
      <c r="D37" s="2" t="s">
        <v>51</v>
      </c>
      <c r="E37" s="2" t="s">
        <v>40</v>
      </c>
      <c r="F37" s="2" t="s">
        <v>139</v>
      </c>
    </row>
    <row r="38" spans="1:6" hidden="1" x14ac:dyDescent="0.3">
      <c r="A38" s="2" t="s">
        <v>167</v>
      </c>
      <c r="B38" s="2" t="s">
        <v>15</v>
      </c>
      <c r="C38" s="2" t="s">
        <v>48</v>
      </c>
      <c r="D38" s="2" t="s">
        <v>51</v>
      </c>
      <c r="E38" s="2" t="s">
        <v>40</v>
      </c>
      <c r="F38" s="2" t="s">
        <v>168</v>
      </c>
    </row>
    <row r="39" spans="1:6" hidden="1" x14ac:dyDescent="0.3">
      <c r="A39" s="2" t="s">
        <v>169</v>
      </c>
      <c r="B39" s="2" t="s">
        <v>15</v>
      </c>
      <c r="C39" s="2" t="s">
        <v>170</v>
      </c>
      <c r="D39" s="2" t="s">
        <v>51</v>
      </c>
      <c r="E39" s="2" t="s">
        <v>40</v>
      </c>
      <c r="F39" s="2" t="s">
        <v>171</v>
      </c>
    </row>
    <row r="40" spans="1:6" hidden="1" x14ac:dyDescent="0.3">
      <c r="A40" s="2" t="s">
        <v>172</v>
      </c>
      <c r="B40" s="2" t="s">
        <v>15</v>
      </c>
      <c r="C40" s="2" t="s">
        <v>83</v>
      </c>
      <c r="D40" s="2" t="s">
        <v>51</v>
      </c>
      <c r="E40" s="2" t="s">
        <v>40</v>
      </c>
      <c r="F40" s="2" t="s">
        <v>173</v>
      </c>
    </row>
    <row r="41" spans="1:6" hidden="1" x14ac:dyDescent="0.3">
      <c r="A41" s="2" t="s">
        <v>174</v>
      </c>
      <c r="B41" s="2" t="s">
        <v>15</v>
      </c>
      <c r="C41" s="2" t="s">
        <v>59</v>
      </c>
      <c r="D41" s="2" t="s">
        <v>51</v>
      </c>
      <c r="E41" s="2" t="s">
        <v>40</v>
      </c>
      <c r="F41" s="2" t="s">
        <v>175</v>
      </c>
    </row>
    <row r="42" spans="1:6" hidden="1" x14ac:dyDescent="0.3">
      <c r="A42" s="2" t="s">
        <v>176</v>
      </c>
      <c r="B42" s="2" t="s">
        <v>15</v>
      </c>
      <c r="C42" s="2" t="s">
        <v>127</v>
      </c>
      <c r="D42" s="2" t="s">
        <v>51</v>
      </c>
      <c r="E42" s="2" t="s">
        <v>40</v>
      </c>
      <c r="F42" s="2" t="s">
        <v>177</v>
      </c>
    </row>
    <row r="43" spans="1:6" hidden="1" x14ac:dyDescent="0.3">
      <c r="A43" s="2" t="s">
        <v>178</v>
      </c>
      <c r="B43" s="2" t="s">
        <v>15</v>
      </c>
      <c r="C43" s="2" t="s">
        <v>106</v>
      </c>
      <c r="D43" s="2" t="s">
        <v>51</v>
      </c>
      <c r="E43" s="2" t="s">
        <v>40</v>
      </c>
      <c r="F43" s="2" t="s">
        <v>179</v>
      </c>
    </row>
    <row r="44" spans="1:6" hidden="1" x14ac:dyDescent="0.3">
      <c r="A44" s="2" t="s">
        <v>180</v>
      </c>
      <c r="B44" s="2" t="s">
        <v>39</v>
      </c>
      <c r="C44" s="2" t="s">
        <v>122</v>
      </c>
      <c r="D44" s="2" t="s">
        <v>147</v>
      </c>
      <c r="E44" s="2" t="s">
        <v>52</v>
      </c>
      <c r="F44" s="2" t="s">
        <v>181</v>
      </c>
    </row>
    <row r="45" spans="1:6" hidden="1" x14ac:dyDescent="0.3">
      <c r="A45" s="2" t="s">
        <v>182</v>
      </c>
      <c r="B45" s="2" t="s">
        <v>22</v>
      </c>
      <c r="C45" s="2" t="s">
        <v>92</v>
      </c>
      <c r="D45" s="2" t="s">
        <v>147</v>
      </c>
      <c r="E45" s="2" t="s">
        <v>52</v>
      </c>
      <c r="F45" s="2" t="s">
        <v>183</v>
      </c>
    </row>
    <row r="46" spans="1:6" hidden="1" x14ac:dyDescent="0.3">
      <c r="A46" s="2" t="s">
        <v>184</v>
      </c>
      <c r="B46" s="2" t="s">
        <v>15</v>
      </c>
      <c r="C46" s="2" t="s">
        <v>109</v>
      </c>
      <c r="D46" s="2" t="s">
        <v>147</v>
      </c>
      <c r="E46" s="2" t="s">
        <v>52</v>
      </c>
      <c r="F46" s="2" t="s">
        <v>185</v>
      </c>
    </row>
    <row r="47" spans="1:6" hidden="1" x14ac:dyDescent="0.3">
      <c r="A47" s="2" t="s">
        <v>186</v>
      </c>
      <c r="B47" s="2" t="s">
        <v>39</v>
      </c>
      <c r="C47" s="2" t="s">
        <v>53</v>
      </c>
      <c r="D47" s="2" t="s">
        <v>51</v>
      </c>
      <c r="E47" s="2" t="s">
        <v>52</v>
      </c>
      <c r="F47" s="2" t="s">
        <v>187</v>
      </c>
    </row>
    <row r="48" spans="1:6" hidden="1" x14ac:dyDescent="0.3">
      <c r="A48" s="2" t="s">
        <v>188</v>
      </c>
      <c r="B48" s="2" t="s">
        <v>39</v>
      </c>
      <c r="C48" s="2" t="s">
        <v>101</v>
      </c>
      <c r="D48" s="2" t="s">
        <v>51</v>
      </c>
      <c r="E48" s="2" t="s">
        <v>52</v>
      </c>
      <c r="F48" s="2" t="s">
        <v>189</v>
      </c>
    </row>
    <row r="49" spans="1:6" hidden="1" x14ac:dyDescent="0.3">
      <c r="A49" s="2" t="s">
        <v>190</v>
      </c>
      <c r="B49" s="2" t="s">
        <v>39</v>
      </c>
      <c r="C49" s="2" t="s">
        <v>73</v>
      </c>
      <c r="D49" s="2" t="s">
        <v>51</v>
      </c>
      <c r="E49" s="2" t="s">
        <v>52</v>
      </c>
      <c r="F49" s="2" t="s">
        <v>191</v>
      </c>
    </row>
    <row r="50" spans="1:6" hidden="1" x14ac:dyDescent="0.3">
      <c r="A50" s="2" t="s">
        <v>192</v>
      </c>
      <c r="B50" s="2" t="s">
        <v>22</v>
      </c>
      <c r="C50" s="2" t="s">
        <v>53</v>
      </c>
      <c r="D50" s="2" t="s">
        <v>51</v>
      </c>
      <c r="E50" s="2" t="s">
        <v>52</v>
      </c>
      <c r="F50" s="2" t="s">
        <v>193</v>
      </c>
    </row>
    <row r="51" spans="1:6" hidden="1" x14ac:dyDescent="0.3">
      <c r="A51" s="2" t="s">
        <v>194</v>
      </c>
      <c r="B51" s="2" t="s">
        <v>22</v>
      </c>
      <c r="C51" s="2" t="s">
        <v>76</v>
      </c>
      <c r="D51" s="2" t="s">
        <v>195</v>
      </c>
      <c r="E51" s="2" t="s">
        <v>52</v>
      </c>
      <c r="F51" s="2"/>
    </row>
    <row r="52" spans="1:6" hidden="1" x14ac:dyDescent="0.3">
      <c r="A52" s="2" t="s">
        <v>196</v>
      </c>
      <c r="B52" s="2" t="s">
        <v>15</v>
      </c>
      <c r="C52" s="2" t="s">
        <v>53</v>
      </c>
      <c r="D52" s="2" t="s">
        <v>51</v>
      </c>
      <c r="E52" s="2" t="s">
        <v>52</v>
      </c>
      <c r="F52" s="2" t="s">
        <v>197</v>
      </c>
    </row>
    <row r="53" spans="1:6" hidden="1" x14ac:dyDescent="0.3">
      <c r="A53" s="2" t="s">
        <v>198</v>
      </c>
      <c r="B53" s="2" t="s">
        <v>39</v>
      </c>
      <c r="C53" s="2" t="s">
        <v>127</v>
      </c>
      <c r="D53" s="2" t="s">
        <v>51</v>
      </c>
      <c r="E53" s="2" t="s">
        <v>52</v>
      </c>
      <c r="F53" s="2" t="s">
        <v>199</v>
      </c>
    </row>
    <row r="54" spans="1:6" hidden="1" x14ac:dyDescent="0.3">
      <c r="A54" s="2" t="s">
        <v>200</v>
      </c>
      <c r="B54" s="2" t="s">
        <v>39</v>
      </c>
      <c r="C54" s="2" t="s">
        <v>79</v>
      </c>
      <c r="D54" s="2" t="s">
        <v>51</v>
      </c>
      <c r="E54" s="2" t="s">
        <v>52</v>
      </c>
      <c r="F54" s="2" t="s">
        <v>201</v>
      </c>
    </row>
    <row r="55" spans="1:6" hidden="1" x14ac:dyDescent="0.3">
      <c r="A55" s="2" t="s">
        <v>202</v>
      </c>
      <c r="B55" s="2" t="s">
        <v>22</v>
      </c>
      <c r="C55" s="2" t="s">
        <v>59</v>
      </c>
      <c r="D55" s="2" t="s">
        <v>51</v>
      </c>
      <c r="E55" s="2" t="s">
        <v>52</v>
      </c>
      <c r="F55" s="2" t="s">
        <v>203</v>
      </c>
    </row>
    <row r="56" spans="1:6" hidden="1" x14ac:dyDescent="0.3">
      <c r="A56" s="2" t="s">
        <v>204</v>
      </c>
      <c r="B56" s="2" t="s">
        <v>22</v>
      </c>
      <c r="C56" s="2" t="s">
        <v>122</v>
      </c>
      <c r="D56" s="2" t="s">
        <v>51</v>
      </c>
      <c r="E56" s="2" t="s">
        <v>52</v>
      </c>
      <c r="F56" s="2" t="s">
        <v>205</v>
      </c>
    </row>
    <row r="57" spans="1:6" hidden="1" x14ac:dyDescent="0.3">
      <c r="A57" s="2" t="s">
        <v>206</v>
      </c>
      <c r="B57" s="2" t="s">
        <v>15</v>
      </c>
      <c r="C57" s="2" t="s">
        <v>101</v>
      </c>
      <c r="D57" s="2" t="s">
        <v>51</v>
      </c>
      <c r="E57" s="2" t="s">
        <v>52</v>
      </c>
      <c r="F57" s="2" t="s">
        <v>207</v>
      </c>
    </row>
    <row r="58" spans="1:6" hidden="1" x14ac:dyDescent="0.3">
      <c r="A58" s="2" t="s">
        <v>208</v>
      </c>
      <c r="B58" s="2" t="s">
        <v>15</v>
      </c>
      <c r="C58" s="2" t="s">
        <v>79</v>
      </c>
      <c r="D58" s="2" t="s">
        <v>51</v>
      </c>
      <c r="E58" s="2" t="s">
        <v>52</v>
      </c>
      <c r="F58" s="2" t="s">
        <v>209</v>
      </c>
    </row>
    <row r="59" spans="1:6" hidden="1" x14ac:dyDescent="0.3">
      <c r="A59" s="2" t="s">
        <v>210</v>
      </c>
      <c r="B59" s="2" t="s">
        <v>39</v>
      </c>
      <c r="C59" s="2" t="s">
        <v>117</v>
      </c>
      <c r="D59" s="2" t="s">
        <v>51</v>
      </c>
      <c r="E59" s="2" t="s">
        <v>52</v>
      </c>
      <c r="F59" s="2" t="s">
        <v>211</v>
      </c>
    </row>
    <row r="60" spans="1:6" hidden="1" x14ac:dyDescent="0.3">
      <c r="A60" s="2" t="s">
        <v>212</v>
      </c>
      <c r="B60" s="2" t="s">
        <v>39</v>
      </c>
      <c r="C60" s="2" t="s">
        <v>109</v>
      </c>
      <c r="D60" s="2" t="s">
        <v>51</v>
      </c>
      <c r="E60" s="2" t="s">
        <v>52</v>
      </c>
      <c r="F60" s="2" t="s">
        <v>213</v>
      </c>
    </row>
    <row r="61" spans="1:6" hidden="1" x14ac:dyDescent="0.3">
      <c r="A61" s="2" t="s">
        <v>214</v>
      </c>
      <c r="B61" s="2" t="s">
        <v>22</v>
      </c>
      <c r="C61" s="2" t="s">
        <v>79</v>
      </c>
      <c r="D61" s="2" t="s">
        <v>215</v>
      </c>
      <c r="E61" s="2" t="s">
        <v>52</v>
      </c>
      <c r="F61" s="2" t="s">
        <v>216</v>
      </c>
    </row>
    <row r="62" spans="1:6" hidden="1" x14ac:dyDescent="0.3">
      <c r="A62" s="2" t="s">
        <v>217</v>
      </c>
      <c r="B62" s="2" t="s">
        <v>22</v>
      </c>
      <c r="C62" s="2" t="s">
        <v>98</v>
      </c>
      <c r="D62" s="2" t="s">
        <v>51</v>
      </c>
      <c r="E62" s="2" t="s">
        <v>62</v>
      </c>
      <c r="F62" s="2" t="s">
        <v>218</v>
      </c>
    </row>
    <row r="63" spans="1:6" hidden="1" x14ac:dyDescent="0.3">
      <c r="A63" s="2" t="s">
        <v>219</v>
      </c>
      <c r="B63" s="2" t="s">
        <v>22</v>
      </c>
      <c r="C63" s="2" t="s">
        <v>117</v>
      </c>
      <c r="D63" s="2" t="s">
        <v>51</v>
      </c>
      <c r="E63" s="2" t="s">
        <v>62</v>
      </c>
      <c r="F63" s="2" t="s">
        <v>220</v>
      </c>
    </row>
    <row r="64" spans="1:6" hidden="1" x14ac:dyDescent="0.3">
      <c r="A64" s="2" t="s">
        <v>221</v>
      </c>
      <c r="B64" s="2" t="s">
        <v>22</v>
      </c>
      <c r="C64" s="2" t="s">
        <v>98</v>
      </c>
      <c r="D64" s="2" t="s">
        <v>51</v>
      </c>
      <c r="E64" s="2" t="s">
        <v>62</v>
      </c>
      <c r="F64" s="2" t="s">
        <v>222</v>
      </c>
    </row>
    <row r="65" spans="1:6" hidden="1" x14ac:dyDescent="0.3">
      <c r="A65" s="2" t="s">
        <v>223</v>
      </c>
      <c r="B65" s="2" t="s">
        <v>15</v>
      </c>
      <c r="C65" s="2" t="s">
        <v>109</v>
      </c>
      <c r="D65" s="2" t="s">
        <v>51</v>
      </c>
      <c r="E65" s="2" t="s">
        <v>62</v>
      </c>
      <c r="F65" s="2" t="s">
        <v>224</v>
      </c>
    </row>
    <row r="66" spans="1:6" hidden="1" x14ac:dyDescent="0.3">
      <c r="A66" s="2" t="s">
        <v>225</v>
      </c>
      <c r="B66" s="2" t="s">
        <v>15</v>
      </c>
      <c r="C66" s="2" t="s">
        <v>226</v>
      </c>
      <c r="D66" s="2" t="s">
        <v>51</v>
      </c>
      <c r="E66" s="2" t="s">
        <v>62</v>
      </c>
      <c r="F66" s="2" t="s">
        <v>227</v>
      </c>
    </row>
    <row r="67" spans="1:6" hidden="1" x14ac:dyDescent="0.3">
      <c r="A67" s="2" t="s">
        <v>228</v>
      </c>
      <c r="B67" s="2" t="s">
        <v>15</v>
      </c>
      <c r="C67" s="2" t="s">
        <v>101</v>
      </c>
      <c r="D67" s="2" t="s">
        <v>51</v>
      </c>
      <c r="E67" s="2" t="s">
        <v>62</v>
      </c>
      <c r="F67" s="2" t="s">
        <v>229</v>
      </c>
    </row>
    <row r="68" spans="1:6" hidden="1" x14ac:dyDescent="0.3">
      <c r="A68" s="2" t="s">
        <v>230</v>
      </c>
      <c r="B68" s="2" t="s">
        <v>22</v>
      </c>
      <c r="C68" s="2" t="s">
        <v>53</v>
      </c>
      <c r="D68" s="2" t="s">
        <v>51</v>
      </c>
      <c r="E68" s="2" t="s">
        <v>62</v>
      </c>
      <c r="F68" s="2" t="s">
        <v>231</v>
      </c>
    </row>
    <row r="69" spans="1:6" hidden="1" x14ac:dyDescent="0.3">
      <c r="A69" s="2" t="s">
        <v>232</v>
      </c>
      <c r="B69" s="2" t="s">
        <v>22</v>
      </c>
      <c r="C69" s="2" t="s">
        <v>53</v>
      </c>
      <c r="D69" s="2" t="s">
        <v>51</v>
      </c>
      <c r="E69" s="2" t="s">
        <v>62</v>
      </c>
      <c r="F69" s="2" t="s">
        <v>233</v>
      </c>
    </row>
    <row r="70" spans="1:6" hidden="1" x14ac:dyDescent="0.3">
      <c r="A70" s="2" t="s">
        <v>234</v>
      </c>
      <c r="B70" s="2" t="s">
        <v>39</v>
      </c>
      <c r="C70" s="2" t="s">
        <v>109</v>
      </c>
      <c r="D70" s="2" t="s">
        <v>51</v>
      </c>
      <c r="E70" s="2" t="s">
        <v>62</v>
      </c>
      <c r="F70" s="2"/>
    </row>
    <row r="71" spans="1:6" hidden="1" x14ac:dyDescent="0.3">
      <c r="A71" s="2" t="s">
        <v>235</v>
      </c>
      <c r="B71" s="2" t="s">
        <v>39</v>
      </c>
      <c r="C71" s="2" t="s">
        <v>53</v>
      </c>
      <c r="D71" s="2" t="s">
        <v>51</v>
      </c>
      <c r="E71" s="2" t="s">
        <v>62</v>
      </c>
      <c r="F71" s="2"/>
    </row>
    <row r="72" spans="1:6" hidden="1" x14ac:dyDescent="0.3">
      <c r="A72" s="2" t="s">
        <v>236</v>
      </c>
      <c r="B72" s="2" t="s">
        <v>39</v>
      </c>
      <c r="C72" s="2" t="s">
        <v>53</v>
      </c>
      <c r="D72" s="2" t="s">
        <v>51</v>
      </c>
      <c r="E72" s="2" t="s">
        <v>62</v>
      </c>
      <c r="F72" s="2"/>
    </row>
    <row r="73" spans="1:6" hidden="1" x14ac:dyDescent="0.3">
      <c r="A73" s="2" t="s">
        <v>237</v>
      </c>
      <c r="B73" s="2" t="s">
        <v>15</v>
      </c>
      <c r="C73" s="2" t="s">
        <v>98</v>
      </c>
      <c r="D73" s="2" t="s">
        <v>51</v>
      </c>
      <c r="E73" s="2" t="s">
        <v>238</v>
      </c>
      <c r="F73" s="2" t="s">
        <v>239</v>
      </c>
    </row>
    <row r="74" spans="1:6" hidden="1" x14ac:dyDescent="0.3">
      <c r="A74" s="2" t="s">
        <v>240</v>
      </c>
      <c r="B74" s="2" t="s">
        <v>15</v>
      </c>
      <c r="C74" s="2" t="s">
        <v>101</v>
      </c>
      <c r="D74" s="2" t="s">
        <v>51</v>
      </c>
      <c r="E74" s="2" t="s">
        <v>238</v>
      </c>
      <c r="F74" s="2" t="s">
        <v>241</v>
      </c>
    </row>
    <row r="75" spans="1:6" hidden="1" x14ac:dyDescent="0.3">
      <c r="A75" s="2" t="s">
        <v>242</v>
      </c>
      <c r="B75" s="2" t="s">
        <v>15</v>
      </c>
      <c r="C75" s="2" t="s">
        <v>98</v>
      </c>
      <c r="D75" s="2" t="s">
        <v>51</v>
      </c>
      <c r="E75" s="2" t="s">
        <v>238</v>
      </c>
      <c r="F75" s="2" t="s">
        <v>243</v>
      </c>
    </row>
    <row r="76" spans="1:6" x14ac:dyDescent="0.3">
      <c r="A76" s="2" t="s">
        <v>244</v>
      </c>
      <c r="B76" s="2" t="s">
        <v>22</v>
      </c>
      <c r="C76" s="2" t="s">
        <v>98</v>
      </c>
      <c r="D76" s="2" t="s">
        <v>51</v>
      </c>
      <c r="E76" s="2" t="s">
        <v>82</v>
      </c>
      <c r="F76" s="2" t="s">
        <v>245</v>
      </c>
    </row>
    <row r="77" spans="1:6" x14ac:dyDescent="0.3">
      <c r="A77" s="2" t="s">
        <v>246</v>
      </c>
      <c r="B77" s="2" t="s">
        <v>22</v>
      </c>
      <c r="C77" s="2" t="s">
        <v>226</v>
      </c>
      <c r="D77" s="2" t="s">
        <v>247</v>
      </c>
      <c r="E77" s="2" t="s">
        <v>82</v>
      </c>
      <c r="F77" s="2"/>
    </row>
    <row r="78" spans="1:6" x14ac:dyDescent="0.3">
      <c r="A78" s="2" t="s">
        <v>248</v>
      </c>
      <c r="B78" s="2" t="s">
        <v>15</v>
      </c>
      <c r="C78" s="2" t="s">
        <v>86</v>
      </c>
      <c r="D78" s="2" t="s">
        <v>51</v>
      </c>
      <c r="E78" s="2" t="s">
        <v>82</v>
      </c>
      <c r="F78" s="2" t="s">
        <v>249</v>
      </c>
    </row>
    <row r="79" spans="1:6" x14ac:dyDescent="0.3">
      <c r="A79" s="2" t="s">
        <v>250</v>
      </c>
      <c r="B79" s="2" t="s">
        <v>22</v>
      </c>
      <c r="C79" s="2" t="s">
        <v>101</v>
      </c>
      <c r="D79" s="2" t="s">
        <v>147</v>
      </c>
      <c r="E79" s="2" t="s">
        <v>82</v>
      </c>
      <c r="F79" s="2"/>
    </row>
    <row r="80" spans="1:6" x14ac:dyDescent="0.3">
      <c r="A80" s="2" t="s">
        <v>251</v>
      </c>
      <c r="B80" s="2" t="s">
        <v>15</v>
      </c>
      <c r="C80" s="2" t="s">
        <v>122</v>
      </c>
      <c r="D80" s="2" t="s">
        <v>147</v>
      </c>
      <c r="E80" s="2" t="s">
        <v>82</v>
      </c>
      <c r="F80" s="2"/>
    </row>
  </sheetData>
  <autoFilter ref="A1:F80" xr:uid="{00000000-0009-0000-0000-000001000000}">
    <filterColumn colId="4">
      <filters>
        <filter val="2026-07-26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tabSelected="1" workbookViewId="0"/>
  </sheetViews>
  <sheetFormatPr defaultRowHeight="14.4" x14ac:dyDescent="0.3"/>
  <cols>
    <col min="1" max="1" width="32" customWidth="1"/>
    <col min="2" max="2" width="14" customWidth="1"/>
  </cols>
  <sheetData>
    <row r="1" spans="1:2" ht="16.8" x14ac:dyDescent="0.3">
      <c r="A1" s="6" t="s">
        <v>252</v>
      </c>
    </row>
    <row r="3" spans="1:2" x14ac:dyDescent="0.3">
      <c r="A3" s="2" t="s">
        <v>253</v>
      </c>
      <c r="B3" s="7">
        <f>COUNTA('RC Sets'!A2:A23)</f>
        <v>22</v>
      </c>
    </row>
    <row r="4" spans="1:2" x14ac:dyDescent="0.3">
      <c r="A4" s="2" t="s">
        <v>254</v>
      </c>
      <c r="B4" s="7">
        <f>COUNTIF('RC Sets'!C:C,"approved")</f>
        <v>14</v>
      </c>
    </row>
    <row r="5" spans="1:2" x14ac:dyDescent="0.3">
      <c r="A5" s="2" t="s">
        <v>255</v>
      </c>
      <c r="B5" s="7">
        <f>COUNTIF('RC Sets'!C:C,"needs_review")</f>
        <v>6</v>
      </c>
    </row>
    <row r="6" spans="1:2" x14ac:dyDescent="0.3">
      <c r="A6" s="2" t="s">
        <v>256</v>
      </c>
      <c r="B6" s="7">
        <f>COUNTIF('RC Sets'!C:C,"solver_dispute")</f>
        <v>0</v>
      </c>
    </row>
    <row r="7" spans="1:2" x14ac:dyDescent="0.3">
      <c r="A7" s="2" t="s">
        <v>257</v>
      </c>
      <c r="B7" s="7">
        <f>COUNTA('Failed Attempts'!A2:A80)</f>
        <v>79</v>
      </c>
    </row>
    <row r="8" spans="1:2" x14ac:dyDescent="0.3">
      <c r="A8" s="2"/>
    </row>
    <row r="9" spans="1:2" x14ac:dyDescent="0.3">
      <c r="A9" s="2" t="s">
        <v>258</v>
      </c>
      <c r="B9" s="7">
        <f>COUNTIF('RC Sets'!B:B,"elite")</f>
        <v>13</v>
      </c>
    </row>
    <row r="10" spans="1:2" x14ac:dyDescent="0.3">
      <c r="A10" s="2" t="s">
        <v>259</v>
      </c>
      <c r="B10" s="7">
        <f>COUNTIF('RC Sets'!B:B,"hard")</f>
        <v>7</v>
      </c>
    </row>
    <row r="11" spans="1:2" x14ac:dyDescent="0.3">
      <c r="A11" s="2" t="s">
        <v>260</v>
      </c>
      <c r="B11" s="7">
        <f>COUNTIF('RC Sets'!B:B,"medium")</f>
        <v>2</v>
      </c>
    </row>
    <row r="12" spans="1:2" x14ac:dyDescent="0.3">
      <c r="A12" s="2"/>
    </row>
    <row r="13" spans="1:2" x14ac:dyDescent="0.3">
      <c r="A13" s="2" t="s">
        <v>261</v>
      </c>
      <c r="B13" s="8">
        <f>SUM('RC Sets'!G:G)</f>
        <v>4.055337999999999</v>
      </c>
    </row>
    <row r="14" spans="1:2" x14ac:dyDescent="0.3">
      <c r="A14" s="2" t="s">
        <v>262</v>
      </c>
      <c r="B14" s="7">
        <f>COUNTIF('RC Sets'!L:L,"Y")+COUNTIF('RC Sets'!L:L,"y")+COUNTIF('RC Sets'!L:L,"Yes")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RC Sets</vt:lpstr>
      <vt:lpstr>Failed Attempts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Ansh Upadhyay</cp:lastModifiedBy>
  <dcterms:created xsi:type="dcterms:W3CDTF">2026-07-26T10:35:23Z</dcterms:created>
  <dcterms:modified xsi:type="dcterms:W3CDTF">2026-07-26T10:37:15Z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2026-07-26T10:36:16Z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6b8b16eb-f8c2-4347-821b-91df76ccc8ea</vt:lpwstr>
  </property>
  <property fmtid="{D5CDD505-2E9C-101B-9397-08002B2CF9AE}" pid="7" name="MSIP_Label_defa4170-0d19-0005-0004-bc88714345d2_ActionId">
    <vt:lpwstr>735cff87-7e38-46e4-9180-e247914414e8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